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ba88a3772a7adc/football pool/2025/"/>
    </mc:Choice>
  </mc:AlternateContent>
  <xr:revisionPtr revIDLastSave="3824" documentId="8_{A4D18F7E-E3DA-46B5-A552-BA3482AD1A93}" xr6:coauthVersionLast="47" xr6:coauthVersionMax="47" xr10:uidLastSave="{ED98FDDD-E415-495C-A40E-FCCA71C95EA1}"/>
  <bookViews>
    <workbookView xWindow="-120" yWindow="0" windowWidth="14415" windowHeight="15585" xr2:uid="{F9B3EFF4-B1FD-42E5-A205-CE85BDA35033}"/>
  </bookViews>
  <sheets>
    <sheet name="Standings" sheetId="24" r:id="rId1"/>
    <sheet name="Scenarios" sheetId="30" r:id="rId2"/>
    <sheet name="Payouts" sheetId="31" r:id="rId3"/>
    <sheet name="main" sheetId="23" r:id="rId4"/>
    <sheet name="faves" sheetId="32" r:id="rId5"/>
    <sheet name="team names" sheetId="35" r:id="rId6"/>
    <sheet name="regularseason" sheetId="33" r:id="rId7"/>
    <sheet name="postseason" sheetId="36" r:id="rId8"/>
    <sheet name="Week-by-Week Games Table (2)" sheetId="29" r:id="rId9"/>
  </sheets>
  <definedNames>
    <definedName name="_xlnm._FilterDatabase" localSheetId="0" hidden="1">Standings!$A$1:$A$28</definedName>
    <definedName name="ExternalData_1" localSheetId="8" hidden="1">'Week-by-Week Games Table (2)'!$A$1:$N$304</definedName>
    <definedName name="NFL_Teams">'Week-by-Week Games Table (2)'!$Q$2:$R$34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8" i="23" l="1"/>
  <c r="F19" i="31"/>
  <c r="E19" i="31"/>
  <c r="J19" i="31"/>
  <c r="Y120" i="23"/>
  <c r="Y110" i="23"/>
  <c r="X120" i="23"/>
  <c r="X118" i="23"/>
  <c r="W120" i="23"/>
  <c r="W114" i="23"/>
  <c r="Y118" i="23"/>
  <c r="Y116" i="23"/>
  <c r="X114" i="23"/>
  <c r="W118" i="23"/>
  <c r="W116" i="23"/>
  <c r="Y108" i="23"/>
  <c r="Y106" i="23"/>
  <c r="Y104" i="23"/>
  <c r="Y73" i="23"/>
  <c r="Y71" i="23"/>
  <c r="Y67" i="23"/>
  <c r="Y65" i="23"/>
  <c r="Y63" i="23"/>
  <c r="Y61" i="23"/>
  <c r="Y59" i="23"/>
  <c r="Y57" i="23"/>
  <c r="Y55" i="23"/>
  <c r="Y24" i="23"/>
  <c r="Y22" i="23"/>
  <c r="Y18" i="23"/>
  <c r="Y14" i="23"/>
  <c r="Y12" i="23"/>
  <c r="Y10" i="23"/>
  <c r="Y8" i="23"/>
  <c r="Y122" i="23"/>
  <c r="Y114" i="23"/>
  <c r="Y112" i="23"/>
  <c r="Y69" i="23"/>
  <c r="Y20" i="23"/>
  <c r="Y16" i="23"/>
  <c r="Y6" i="23"/>
  <c r="X116" i="23"/>
  <c r="X110" i="23"/>
  <c r="X69" i="23"/>
  <c r="X59" i="23"/>
  <c r="X57" i="23"/>
  <c r="X24" i="23"/>
  <c r="X10" i="23"/>
  <c r="X8" i="23"/>
  <c r="X122" i="23"/>
  <c r="X112" i="23"/>
  <c r="X108" i="23"/>
  <c r="X106" i="23"/>
  <c r="X104" i="23"/>
  <c r="X73" i="23"/>
  <c r="X71" i="23"/>
  <c r="X67" i="23"/>
  <c r="X65" i="23"/>
  <c r="X63" i="23"/>
  <c r="X61" i="23"/>
  <c r="X55" i="23"/>
  <c r="X22" i="23"/>
  <c r="X20" i="23"/>
  <c r="X18" i="23"/>
  <c r="X16" i="23"/>
  <c r="X14" i="23"/>
  <c r="X12" i="23"/>
  <c r="X6" i="23"/>
  <c r="W106" i="23"/>
  <c r="W104" i="23"/>
  <c r="W122" i="23"/>
  <c r="W112" i="23"/>
  <c r="W110" i="23"/>
  <c r="W108" i="23"/>
  <c r="W73" i="23"/>
  <c r="W67" i="23"/>
  <c r="W65" i="23"/>
  <c r="W63" i="23"/>
  <c r="W24" i="23"/>
  <c r="W20" i="23"/>
  <c r="W16" i="23"/>
  <c r="W18" i="23"/>
  <c r="W22" i="23"/>
  <c r="W14" i="23"/>
  <c r="W12" i="23"/>
  <c r="W10" i="23"/>
  <c r="W8" i="23"/>
  <c r="W6" i="23"/>
  <c r="V6" i="23"/>
  <c r="V116" i="23"/>
  <c r="V122" i="23"/>
  <c r="V120" i="23"/>
  <c r="V118" i="23"/>
  <c r="V114" i="23"/>
  <c r="V112" i="23"/>
  <c r="V110" i="23"/>
  <c r="V108" i="23"/>
  <c r="V106" i="23"/>
  <c r="V104" i="23"/>
  <c r="V71" i="23"/>
  <c r="V69" i="23"/>
  <c r="V57" i="23"/>
  <c r="V73" i="23"/>
  <c r="V67" i="23"/>
  <c r="V65" i="23"/>
  <c r="V63" i="23"/>
  <c r="V61" i="23"/>
  <c r="V59" i="23"/>
  <c r="V55" i="23"/>
  <c r="V24" i="23"/>
  <c r="V22" i="23"/>
  <c r="V20" i="23"/>
  <c r="V14" i="23"/>
  <c r="V12" i="23"/>
  <c r="V8" i="23"/>
  <c r="V18" i="23"/>
  <c r="V16" i="23"/>
  <c r="V10" i="23"/>
  <c r="U6" i="23"/>
  <c r="U122" i="23"/>
  <c r="U120" i="23"/>
  <c r="U118" i="23"/>
  <c r="U116" i="23"/>
  <c r="U114" i="23"/>
  <c r="U112" i="23"/>
  <c r="U110" i="23"/>
  <c r="U108" i="23"/>
  <c r="U106" i="23"/>
  <c r="U104" i="23"/>
  <c r="U55" i="23"/>
  <c r="U73" i="23"/>
  <c r="U71" i="23"/>
  <c r="U69" i="23"/>
  <c r="U67" i="23"/>
  <c r="U65" i="23"/>
  <c r="U63" i="23"/>
  <c r="U61" i="23"/>
  <c r="U59" i="23"/>
  <c r="U57" i="23"/>
  <c r="U22" i="23"/>
  <c r="U20" i="23"/>
  <c r="U16" i="23"/>
  <c r="U14" i="23"/>
  <c r="U12" i="23"/>
  <c r="U10" i="23"/>
  <c r="U8" i="23"/>
  <c r="U18" i="23"/>
  <c r="U24" i="23"/>
  <c r="T120" i="23"/>
  <c r="T114" i="23"/>
  <c r="T110" i="23"/>
  <c r="T108" i="23"/>
  <c r="T122" i="23"/>
  <c r="T118" i="23"/>
  <c r="T116" i="23"/>
  <c r="T112" i="23"/>
  <c r="T106" i="23"/>
  <c r="T104" i="23"/>
  <c r="T71" i="23"/>
  <c r="T69" i="23"/>
  <c r="T61" i="23"/>
  <c r="T57" i="23"/>
  <c r="T73" i="23"/>
  <c r="T67" i="23"/>
  <c r="T65" i="23"/>
  <c r="T63" i="23"/>
  <c r="T59" i="23"/>
  <c r="T55" i="23"/>
  <c r="T24" i="23"/>
  <c r="T16" i="23"/>
  <c r="T22" i="23"/>
  <c r="T20" i="23"/>
  <c r="T18" i="23"/>
  <c r="T14" i="23"/>
  <c r="T12" i="23"/>
  <c r="T10" i="23"/>
  <c r="T8" i="23"/>
  <c r="T6" i="23"/>
  <c r="S6" i="23"/>
  <c r="S118" i="23"/>
  <c r="S116" i="23"/>
  <c r="S114" i="23"/>
  <c r="S110" i="23"/>
  <c r="S106" i="23"/>
  <c r="S122" i="23"/>
  <c r="S120" i="23"/>
  <c r="S112" i="23"/>
  <c r="S108" i="23"/>
  <c r="S104" i="23"/>
  <c r="S73" i="23"/>
  <c r="S71" i="23"/>
  <c r="S69" i="23"/>
  <c r="S67" i="23"/>
  <c r="S65" i="23"/>
  <c r="S63" i="23"/>
  <c r="S61" i="23"/>
  <c r="S59" i="23"/>
  <c r="S57" i="23"/>
  <c r="S55" i="23"/>
  <c r="S24" i="23"/>
  <c r="S22" i="23"/>
  <c r="S20" i="23"/>
  <c r="S18" i="23"/>
  <c r="S16" i="23"/>
  <c r="S14" i="23"/>
  <c r="S12" i="23"/>
  <c r="S10" i="23"/>
  <c r="S8" i="23"/>
  <c r="R114" i="23"/>
  <c r="R122" i="23"/>
  <c r="R120" i="23"/>
  <c r="R118" i="23"/>
  <c r="R116" i="23"/>
  <c r="R112" i="23"/>
  <c r="R110" i="23"/>
  <c r="R108" i="23"/>
  <c r="R106" i="23"/>
  <c r="R104" i="23"/>
  <c r="R65" i="23"/>
  <c r="R73" i="23"/>
  <c r="R71" i="23"/>
  <c r="R69" i="23"/>
  <c r="R67" i="23"/>
  <c r="R63" i="23"/>
  <c r="R61" i="23"/>
  <c r="R59" i="23"/>
  <c r="R57" i="23"/>
  <c r="R55" i="23"/>
  <c r="R24" i="23"/>
  <c r="R22" i="23"/>
  <c r="R20" i="23"/>
  <c r="R18" i="23"/>
  <c r="R16" i="23"/>
  <c r="R14" i="23"/>
  <c r="R12" i="23"/>
  <c r="R10" i="23"/>
  <c r="R8" i="23"/>
  <c r="R6" i="23"/>
  <c r="Q122" i="23"/>
  <c r="Q120" i="23"/>
  <c r="Q118" i="23"/>
  <c r="Q116" i="23"/>
  <c r="Q114" i="23"/>
  <c r="Q112" i="23"/>
  <c r="Q110" i="23"/>
  <c r="Q108" i="23"/>
  <c r="Q106" i="23"/>
  <c r="Q104" i="23"/>
  <c r="Q65" i="23"/>
  <c r="Q61" i="23"/>
  <c r="Q73" i="23"/>
  <c r="Q71" i="23"/>
  <c r="Q69" i="23"/>
  <c r="Q67" i="23"/>
  <c r="Q63" i="23"/>
  <c r="Q59" i="23"/>
  <c r="Q57" i="23"/>
  <c r="Q55" i="23"/>
  <c r="Q24" i="23"/>
  <c r="Q22" i="23"/>
  <c r="Q20" i="23"/>
  <c r="Q18" i="23"/>
  <c r="Q16" i="23"/>
  <c r="Q14" i="23"/>
  <c r="Q12" i="23"/>
  <c r="Q10" i="23"/>
  <c r="Q8" i="23"/>
  <c r="Q6" i="23"/>
  <c r="P120" i="23"/>
  <c r="P106" i="23"/>
  <c r="P122" i="23"/>
  <c r="P118" i="23"/>
  <c r="P116" i="23"/>
  <c r="P114" i="23"/>
  <c r="P112" i="23"/>
  <c r="P110" i="23"/>
  <c r="P108" i="23"/>
  <c r="P104" i="23"/>
  <c r="P65" i="23"/>
  <c r="P55" i="23"/>
  <c r="P73" i="23"/>
  <c r="P71" i="23"/>
  <c r="P69" i="23"/>
  <c r="P67" i="23"/>
  <c r="P63" i="23"/>
  <c r="P61" i="23"/>
  <c r="P59" i="23"/>
  <c r="P57" i="23"/>
  <c r="P24" i="23"/>
  <c r="P10" i="23"/>
  <c r="P22" i="23"/>
  <c r="P20" i="23"/>
  <c r="P18" i="23"/>
  <c r="P16" i="23"/>
  <c r="P14" i="23"/>
  <c r="P12" i="23"/>
  <c r="P8" i="23"/>
  <c r="P6" i="23"/>
  <c r="O6" i="23"/>
  <c r="O122" i="23"/>
  <c r="O120" i="23"/>
  <c r="O118" i="23"/>
  <c r="O112" i="23"/>
  <c r="O110" i="23"/>
  <c r="O104" i="23"/>
  <c r="O116" i="23"/>
  <c r="O114" i="23"/>
  <c r="O108" i="23"/>
  <c r="O106" i="23"/>
  <c r="O69" i="23"/>
  <c r="O61" i="23"/>
  <c r="O73" i="23"/>
  <c r="O71" i="23"/>
  <c r="O67" i="23"/>
  <c r="O65" i="23"/>
  <c r="O63" i="23"/>
  <c r="O59" i="23"/>
  <c r="O57" i="23"/>
  <c r="O55" i="23"/>
  <c r="O22" i="23"/>
  <c r="O18" i="23"/>
  <c r="O16" i="23"/>
  <c r="O14" i="23"/>
  <c r="O12" i="23"/>
  <c r="O10" i="23"/>
  <c r="O8" i="23"/>
  <c r="O24" i="23"/>
  <c r="O20" i="23"/>
  <c r="N6" i="23"/>
  <c r="N120" i="23"/>
  <c r="N118" i="23"/>
  <c r="N110" i="23"/>
  <c r="N106" i="23"/>
  <c r="N122" i="23"/>
  <c r="N116" i="23"/>
  <c r="N114" i="23"/>
  <c r="N112" i="23"/>
  <c r="N108" i="23"/>
  <c r="N104" i="23"/>
  <c r="N57" i="23"/>
  <c r="N67" i="23"/>
  <c r="N73" i="23"/>
  <c r="N71" i="23"/>
  <c r="N69" i="23"/>
  <c r="N65" i="23"/>
  <c r="N63" i="23"/>
  <c r="N61" i="23"/>
  <c r="N59" i="23"/>
  <c r="N55" i="23"/>
  <c r="N20" i="23"/>
  <c r="N24" i="23"/>
  <c r="N22" i="23"/>
  <c r="N18" i="23"/>
  <c r="N16" i="23"/>
  <c r="N14" i="23"/>
  <c r="N12" i="23"/>
  <c r="N10" i="23"/>
  <c r="N8" i="23"/>
  <c r="M6" i="23"/>
  <c r="L108" i="23"/>
  <c r="L110" i="23"/>
  <c r="M120" i="23"/>
  <c r="M112" i="23"/>
  <c r="M122" i="23"/>
  <c r="M118" i="23"/>
  <c r="M116" i="23"/>
  <c r="M114" i="23"/>
  <c r="M110" i="23"/>
  <c r="M108" i="23"/>
  <c r="M106" i="23"/>
  <c r="M104" i="23"/>
  <c r="M57" i="23"/>
  <c r="M73" i="23"/>
  <c r="M71" i="23"/>
  <c r="M69" i="23"/>
  <c r="M67" i="23"/>
  <c r="M65" i="23"/>
  <c r="M63" i="23"/>
  <c r="M61" i="23"/>
  <c r="M59" i="23"/>
  <c r="M55" i="23"/>
  <c r="M18" i="23"/>
  <c r="M24" i="23"/>
  <c r="M22" i="23"/>
  <c r="M20" i="23"/>
  <c r="M16" i="23"/>
  <c r="M14" i="23"/>
  <c r="M12" i="23"/>
  <c r="M10" i="23"/>
  <c r="M8" i="23"/>
  <c r="L24" i="23"/>
  <c r="L22" i="23"/>
  <c r="L16" i="23"/>
  <c r="L12" i="23"/>
  <c r="L55" i="23"/>
  <c r="L57" i="23"/>
  <c r="L59" i="23"/>
  <c r="L61" i="23"/>
  <c r="L63" i="23"/>
  <c r="L67" i="23"/>
  <c r="L69" i="23"/>
  <c r="L71" i="23"/>
  <c r="L73" i="23"/>
  <c r="L104" i="23"/>
  <c r="L106" i="23"/>
  <c r="L114" i="23"/>
  <c r="L116" i="23"/>
  <c r="L118" i="23"/>
  <c r="L120" i="23"/>
  <c r="L122" i="23"/>
  <c r="L112" i="23"/>
  <c r="L20" i="23"/>
  <c r="L18" i="23"/>
  <c r="L14" i="23"/>
  <c r="L10" i="23"/>
  <c r="L8" i="23"/>
  <c r="L6" i="23"/>
  <c r="L65" i="23"/>
  <c r="K122" i="23"/>
  <c r="K120" i="23"/>
  <c r="K118" i="23"/>
  <c r="K114" i="23"/>
  <c r="K112" i="23"/>
  <c r="K110" i="23"/>
  <c r="K108" i="23"/>
  <c r="K106" i="23"/>
  <c r="K104" i="23"/>
  <c r="K71" i="23"/>
  <c r="K69" i="23"/>
  <c r="K67" i="23"/>
  <c r="K65" i="23"/>
  <c r="K63" i="23"/>
  <c r="K61" i="23"/>
  <c r="K59" i="23"/>
  <c r="K57" i="23"/>
  <c r="K22" i="23"/>
  <c r="K116" i="23"/>
  <c r="K73" i="23"/>
  <c r="K55" i="23"/>
  <c r="K24" i="23"/>
  <c r="K16" i="23"/>
  <c r="K18" i="23"/>
  <c r="K20" i="23"/>
  <c r="K14" i="23"/>
  <c r="K12" i="23"/>
  <c r="K10" i="23"/>
  <c r="K8" i="23"/>
  <c r="K6" i="23"/>
  <c r="J120" i="23"/>
  <c r="J118" i="23"/>
  <c r="J112" i="23"/>
  <c r="J104" i="23"/>
  <c r="J122" i="23"/>
  <c r="J116" i="23"/>
  <c r="J114" i="23"/>
  <c r="J110" i="23"/>
  <c r="J108" i="23"/>
  <c r="J106" i="23"/>
  <c r="J73" i="23"/>
  <c r="J71" i="23"/>
  <c r="J67" i="23"/>
  <c r="J65" i="23"/>
  <c r="J63" i="23"/>
  <c r="J59" i="23"/>
  <c r="J69" i="23"/>
  <c r="J61" i="23"/>
  <c r="J57" i="23"/>
  <c r="J55" i="23"/>
  <c r="J24" i="23"/>
  <c r="J20" i="23"/>
  <c r="J18" i="23"/>
  <c r="J16" i="23"/>
  <c r="J22" i="23"/>
  <c r="J14" i="23"/>
  <c r="J12" i="23"/>
  <c r="J10" i="23"/>
  <c r="J8" i="23"/>
  <c r="J6" i="23"/>
  <c r="I6" i="23"/>
  <c r="I57" i="23"/>
  <c r="I55" i="23"/>
  <c r="I59" i="23"/>
  <c r="I122" i="23"/>
  <c r="I120" i="23"/>
  <c r="I118" i="23"/>
  <c r="I116" i="23"/>
  <c r="I114" i="23"/>
  <c r="I112" i="23"/>
  <c r="I110" i="23"/>
  <c r="I108" i="23"/>
  <c r="I106" i="23"/>
  <c r="I104" i="23"/>
  <c r="I73" i="23"/>
  <c r="I71" i="23"/>
  <c r="I69" i="23"/>
  <c r="I67" i="23"/>
  <c r="I65" i="23"/>
  <c r="I63" i="23"/>
  <c r="I61" i="23"/>
  <c r="I24" i="23"/>
  <c r="I22" i="23"/>
  <c r="I20" i="23"/>
  <c r="I18" i="23"/>
  <c r="I16" i="23"/>
  <c r="I14" i="23"/>
  <c r="I12" i="23"/>
  <c r="I10" i="23"/>
  <c r="I8" i="23"/>
  <c r="H6" i="23"/>
  <c r="H104" i="23"/>
  <c r="H108" i="23"/>
  <c r="H120" i="23"/>
  <c r="H122" i="23"/>
  <c r="H118" i="23"/>
  <c r="H116" i="23"/>
  <c r="H114" i="23"/>
  <c r="H112" i="23"/>
  <c r="H110" i="23"/>
  <c r="H106" i="23"/>
  <c r="H67" i="23"/>
  <c r="H63" i="23"/>
  <c r="H69" i="23"/>
  <c r="H71" i="23"/>
  <c r="H73" i="23"/>
  <c r="H65" i="23"/>
  <c r="H61" i="23"/>
  <c r="H59" i="23"/>
  <c r="H57" i="23"/>
  <c r="H55" i="23"/>
  <c r="H24" i="23"/>
  <c r="H20" i="23"/>
  <c r="H18" i="23"/>
  <c r="H14" i="23"/>
  <c r="H12" i="23"/>
  <c r="H22" i="23"/>
  <c r="H16" i="23"/>
  <c r="H10" i="23"/>
  <c r="H8" i="23"/>
  <c r="G122" i="23"/>
  <c r="G120" i="23"/>
  <c r="G118" i="23"/>
  <c r="G116" i="23"/>
  <c r="G114" i="23"/>
  <c r="G112" i="23"/>
  <c r="G110" i="23"/>
  <c r="G108" i="23"/>
  <c r="G106" i="23"/>
  <c r="G104" i="23"/>
  <c r="G73" i="23"/>
  <c r="G71" i="23"/>
  <c r="G69" i="23"/>
  <c r="G67" i="23"/>
  <c r="G65" i="23"/>
  <c r="G63" i="23"/>
  <c r="G61" i="23"/>
  <c r="G59" i="23"/>
  <c r="G57" i="23"/>
  <c r="G55" i="23"/>
  <c r="G24" i="23"/>
  <c r="G22" i="23"/>
  <c r="G20" i="23"/>
  <c r="G18" i="23"/>
  <c r="G16" i="23"/>
  <c r="G14" i="23"/>
  <c r="G12" i="23"/>
  <c r="G10" i="23"/>
  <c r="G8" i="23"/>
  <c r="G6" i="23"/>
  <c r="F120" i="23"/>
  <c r="F122" i="23"/>
  <c r="F118" i="23"/>
  <c r="F112" i="23"/>
  <c r="F110" i="23"/>
  <c r="F108" i="23"/>
  <c r="F106" i="23"/>
  <c r="F116" i="23"/>
  <c r="F114" i="23"/>
  <c r="F104" i="23"/>
  <c r="F61" i="23"/>
  <c r="F73" i="23"/>
  <c r="F71" i="23"/>
  <c r="F69" i="23"/>
  <c r="F67" i="23"/>
  <c r="F65" i="23"/>
  <c r="F63" i="23"/>
  <c r="F59" i="23"/>
  <c r="F57" i="23"/>
  <c r="F55" i="23"/>
  <c r="F24" i="23"/>
  <c r="F22" i="23"/>
  <c r="F20" i="23"/>
  <c r="F18" i="23"/>
  <c r="F16" i="23"/>
  <c r="F14" i="23"/>
  <c r="F12" i="23"/>
  <c r="F10" i="23"/>
  <c r="F8" i="23"/>
  <c r="F6" i="23"/>
  <c r="E20" i="23"/>
  <c r="E10" i="23"/>
  <c r="E24" i="23"/>
  <c r="E55" i="23"/>
  <c r="E59" i="23"/>
  <c r="E73" i="23"/>
  <c r="E122" i="23"/>
  <c r="E120" i="23"/>
  <c r="E118" i="23"/>
  <c r="E116" i="23"/>
  <c r="E114" i="23"/>
  <c r="E112" i="23"/>
  <c r="E110" i="23"/>
  <c r="E108" i="23"/>
  <c r="E106" i="23"/>
  <c r="E104" i="23"/>
  <c r="E71" i="23"/>
  <c r="E69" i="23"/>
  <c r="E67" i="23"/>
  <c r="E65" i="23"/>
  <c r="E63" i="23"/>
  <c r="E61" i="23"/>
  <c r="E57" i="23"/>
  <c r="E22" i="23"/>
  <c r="E18" i="23"/>
  <c r="E16" i="23"/>
  <c r="E14" i="23"/>
  <c r="E12" i="23"/>
  <c r="E8" i="23"/>
  <c r="E6" i="23"/>
  <c r="D55" i="23"/>
  <c r="D57" i="23"/>
  <c r="D59" i="23"/>
  <c r="D61" i="23"/>
  <c r="D67" i="23"/>
  <c r="D69" i="23"/>
  <c r="D71" i="23"/>
  <c r="D73" i="23"/>
  <c r="D120" i="23"/>
  <c r="D114" i="23"/>
  <c r="D112" i="23"/>
  <c r="D110" i="23"/>
  <c r="D108" i="23"/>
  <c r="D104" i="23"/>
  <c r="D106" i="23"/>
  <c r="D116" i="23"/>
  <c r="D118" i="23"/>
  <c r="D122" i="23"/>
  <c r="D65" i="23"/>
  <c r="D63" i="23"/>
  <c r="D22" i="23"/>
  <c r="D14" i="23"/>
  <c r="D10" i="23"/>
  <c r="D8" i="23"/>
  <c r="D24" i="23"/>
  <c r="D20" i="23"/>
  <c r="D18" i="23"/>
  <c r="D16" i="23"/>
  <c r="D12" i="23"/>
  <c r="D6" i="23"/>
  <c r="C73" i="23"/>
  <c r="C71" i="23"/>
  <c r="C65" i="23"/>
  <c r="C61" i="23"/>
  <c r="C59" i="23"/>
  <c r="C16" i="23"/>
  <c r="C12" i="23"/>
  <c r="C10" i="23"/>
  <c r="C8" i="23"/>
  <c r="C104" i="23"/>
  <c r="C106" i="23"/>
  <c r="C122" i="23"/>
  <c r="C120" i="23"/>
  <c r="C118" i="23"/>
  <c r="C116" i="23"/>
  <c r="C114" i="23"/>
  <c r="C112" i="23"/>
  <c r="C110" i="23"/>
  <c r="C108" i="23"/>
  <c r="C69" i="23"/>
  <c r="C67" i="23"/>
  <c r="C63" i="23"/>
  <c r="C57" i="23"/>
  <c r="C55" i="23"/>
  <c r="C14" i="23"/>
  <c r="C6" i="23"/>
  <c r="B122" i="23"/>
  <c r="B120" i="23"/>
  <c r="B118" i="23"/>
  <c r="B116" i="23"/>
  <c r="B114" i="23"/>
  <c r="B112" i="23"/>
  <c r="B110" i="23"/>
  <c r="B108" i="23"/>
  <c r="B106" i="23"/>
  <c r="B104" i="23"/>
  <c r="B73" i="23"/>
  <c r="B71" i="23"/>
  <c r="B69" i="23"/>
  <c r="B67" i="23"/>
  <c r="B65" i="23"/>
  <c r="B63" i="23"/>
  <c r="B61" i="23"/>
  <c r="B59" i="23"/>
  <c r="B57" i="23"/>
  <c r="B55" i="23"/>
  <c r="O261" i="29"/>
  <c r="C24" i="23"/>
  <c r="C22" i="23"/>
  <c r="C20" i="23"/>
  <c r="C18" i="23"/>
  <c r="B24" i="23"/>
  <c r="B22" i="23"/>
  <c r="B20" i="23"/>
  <c r="B18" i="23"/>
  <c r="B16" i="23"/>
  <c r="AC44" i="23"/>
  <c r="AC42" i="23"/>
  <c r="AC40" i="23"/>
  <c r="AC146" i="23"/>
  <c r="AC144" i="23"/>
  <c r="AC142" i="23"/>
  <c r="AC140" i="23"/>
  <c r="AC138" i="23"/>
  <c r="AC136" i="23"/>
  <c r="AC134" i="23"/>
  <c r="AC132" i="23"/>
  <c r="AC130" i="23"/>
  <c r="AC128" i="23"/>
  <c r="AC97" i="23"/>
  <c r="B6" i="23"/>
  <c r="B14" i="23"/>
  <c r="B12" i="23"/>
  <c r="B10" i="23"/>
  <c r="B8" i="23"/>
  <c r="B4" i="31"/>
  <c r="B3" i="31"/>
  <c r="B2" i="31"/>
  <c r="AC83" i="23"/>
  <c r="AC85" i="23"/>
  <c r="AC87" i="23"/>
  <c r="AC89" i="23"/>
  <c r="AC91" i="23"/>
  <c r="AC93" i="23"/>
  <c r="AC95" i="23"/>
  <c r="O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1" i="29"/>
  <c r="O242" i="29"/>
  <c r="O243" i="29"/>
  <c r="O244" i="29"/>
  <c r="O245" i="29"/>
  <c r="O246" i="29"/>
  <c r="O247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AC79" i="23"/>
  <c r="AC32" i="23"/>
  <c r="AC34" i="23"/>
  <c r="AC36" i="23"/>
  <c r="AC38" i="23"/>
  <c r="AC46" i="23"/>
  <c r="AC81" i="23"/>
  <c r="Z64" i="33" l="1"/>
  <c r="Z48" i="33"/>
  <c r="Z24" i="33"/>
  <c r="Z26" i="33"/>
  <c r="Z30" i="33"/>
  <c r="Z34" i="33"/>
  <c r="Z42" i="33"/>
  <c r="Z46" i="33"/>
  <c r="Z40" i="33"/>
  <c r="Z44" i="33"/>
  <c r="Z32" i="33"/>
  <c r="Z58" i="33"/>
  <c r="Z56" i="33"/>
  <c r="Z60" i="33"/>
  <c r="Z66" i="33"/>
  <c r="Z54" i="33"/>
  <c r="Z28" i="33"/>
  <c r="Z50" i="33"/>
  <c r="Z62" i="33"/>
  <c r="Z52" i="33"/>
  <c r="Z18" i="33"/>
  <c r="Z4" i="33"/>
  <c r="Z12" i="33"/>
  <c r="Z14" i="33"/>
  <c r="Z16" i="33"/>
  <c r="Z20" i="33"/>
  <c r="Z10" i="33"/>
  <c r="Z8" i="33"/>
  <c r="Z6" i="33"/>
  <c r="Z22" i="33"/>
  <c r="Z111" i="23"/>
  <c r="AE136" i="23" s="1"/>
  <c r="AG136" i="23" s="1"/>
  <c r="Z107" i="23"/>
  <c r="AE132" i="23" s="1"/>
  <c r="AG132" i="23" s="1"/>
  <c r="Z103" i="23"/>
  <c r="AE128" i="23" s="1"/>
  <c r="AG128" i="23" s="1"/>
  <c r="Z115" i="23"/>
  <c r="AE140" i="23" s="1"/>
  <c r="AG140" i="23" s="1"/>
  <c r="Z105" i="23"/>
  <c r="AE130" i="23" s="1"/>
  <c r="AG130" i="23" s="1"/>
  <c r="Z119" i="23"/>
  <c r="AE144" i="23" s="1"/>
  <c r="AG144" i="23" s="1"/>
  <c r="Z117" i="23"/>
  <c r="AE142" i="23" s="1"/>
  <c r="AG142" i="23" s="1"/>
  <c r="Z113" i="23"/>
  <c r="AE138" i="23" s="1"/>
  <c r="AG138" i="23" s="1"/>
  <c r="Z109" i="23"/>
  <c r="AE134" i="23" s="1"/>
  <c r="AG134" i="23" s="1"/>
  <c r="Z23" i="23"/>
  <c r="AE48" i="23" s="1"/>
  <c r="AG48" i="23" s="1"/>
  <c r="Z72" i="23"/>
  <c r="AE97" i="23" s="1"/>
  <c r="AG97" i="23" s="1"/>
  <c r="Z121" i="23"/>
  <c r="AE146" i="23" s="1"/>
  <c r="AG146" i="23" s="1"/>
  <c r="Z66" i="23"/>
  <c r="AE91" i="23" s="1"/>
  <c r="Z64" i="23"/>
  <c r="AE89" i="23" s="1"/>
  <c r="Z62" i="23"/>
  <c r="AE87" i="23" s="1"/>
  <c r="AK136" i="23" l="1"/>
  <c r="C14" i="24"/>
  <c r="AK138" i="23"/>
  <c r="C7" i="24"/>
  <c r="AK144" i="23"/>
  <c r="C5" i="24"/>
  <c r="AK134" i="23"/>
  <c r="C19" i="24"/>
  <c r="AK130" i="23"/>
  <c r="C4" i="24"/>
  <c r="AK132" i="23"/>
  <c r="C18" i="24"/>
  <c r="AK146" i="23"/>
  <c r="C29" i="24"/>
  <c r="AK140" i="23"/>
  <c r="C27" i="24"/>
  <c r="AK142" i="23"/>
  <c r="C15" i="24"/>
  <c r="AK128" i="23"/>
  <c r="C9" i="24"/>
  <c r="AK97" i="23"/>
  <c r="C24" i="24"/>
  <c r="AK48" i="23"/>
  <c r="C22" i="24"/>
  <c r="Z17" i="23"/>
  <c r="AE42" i="23" s="1"/>
  <c r="AG42" i="23" s="1"/>
  <c r="C6" i="24" s="1"/>
  <c r="Z9" i="23"/>
  <c r="Z13" i="23"/>
  <c r="AG89" i="23" l="1"/>
  <c r="C13" i="24" s="1"/>
  <c r="Z11" i="23"/>
  <c r="AE36" i="23" s="1"/>
  <c r="AG36" i="23" s="1"/>
  <c r="C10" i="24" s="1"/>
  <c r="Z19" i="23"/>
  <c r="Z7" i="23"/>
  <c r="AE32" i="23" s="1"/>
  <c r="AG32" i="23" s="1"/>
  <c r="C16" i="24" s="1"/>
  <c r="Z21" i="23"/>
  <c r="AE46" i="23" s="1"/>
  <c r="AG46" i="23" s="1"/>
  <c r="C21" i="24" s="1"/>
  <c r="Z5" i="23"/>
  <c r="AE30" i="23" s="1"/>
  <c r="AG30" i="23" s="1"/>
  <c r="C12" i="24" s="1"/>
  <c r="Z15" i="23"/>
  <c r="AG87" i="23"/>
  <c r="C23" i="24" s="1"/>
  <c r="AG91" i="23"/>
  <c r="C26" i="24" s="1"/>
  <c r="AE34" i="23"/>
  <c r="AG34" i="23" s="1"/>
  <c r="C20" i="24" s="1"/>
  <c r="AE38" i="23"/>
  <c r="AG38" i="23" s="1"/>
  <c r="C30" i="24" s="1"/>
  <c r="AE44" i="23" l="1"/>
  <c r="AG44" i="23" s="1"/>
  <c r="C28" i="24" s="1"/>
  <c r="AE40" i="23"/>
  <c r="AG40" i="23" s="1"/>
  <c r="C3" i="24" s="1"/>
  <c r="AK32" i="23"/>
  <c r="AK30" i="23"/>
  <c r="AK42" i="23"/>
  <c r="AK36" i="23"/>
  <c r="AK87" i="23"/>
  <c r="AK46" i="23"/>
  <c r="AK89" i="23"/>
  <c r="AK91" i="23"/>
  <c r="AK34" i="23"/>
  <c r="AK38" i="23"/>
  <c r="AK44" i="23" l="1"/>
  <c r="AK40" i="23"/>
  <c r="W71" i="23" l="1"/>
  <c r="Z70" i="23" s="1"/>
  <c r="AE95" i="23" s="1"/>
  <c r="AG95" i="23" s="1"/>
  <c r="C11" i="24" s="1"/>
  <c r="W61" i="23"/>
  <c r="Z60" i="23" s="1"/>
  <c r="AE85" i="23" s="1"/>
  <c r="AG85" i="23" s="1"/>
  <c r="C2" i="24" s="1"/>
  <c r="W57" i="23"/>
  <c r="Z56" i="23" s="1"/>
  <c r="AE81" i="23" s="1"/>
  <c r="AG81" i="23" s="1"/>
  <c r="C17" i="24" s="1"/>
  <c r="W55" i="23"/>
  <c r="Z54" i="23" s="1"/>
  <c r="AE79" i="23" s="1"/>
  <c r="AG79" i="23" s="1"/>
  <c r="C31" i="24" s="1"/>
  <c r="W59" i="23"/>
  <c r="Z58" i="23" s="1"/>
  <c r="AE83" i="23" s="1"/>
  <c r="AG83" i="23" s="1"/>
  <c r="C25" i="24" s="1"/>
  <c r="W69" i="23"/>
  <c r="Z68" i="23" s="1"/>
  <c r="AE93" i="23" s="1"/>
  <c r="AG93" i="23" s="1"/>
  <c r="C8" i="24" s="1"/>
  <c r="A15" i="24" l="1"/>
  <c r="A5" i="24"/>
  <c r="A14" i="24"/>
  <c r="A7" i="24"/>
  <c r="A4" i="24"/>
  <c r="A9" i="24"/>
  <c r="A19" i="24"/>
  <c r="A29" i="24"/>
  <c r="A18" i="24"/>
  <c r="A27" i="24"/>
  <c r="AK79" i="23"/>
  <c r="AK95" i="23"/>
  <c r="AK93" i="23"/>
  <c r="AK81" i="23"/>
  <c r="A12" i="24"/>
  <c r="AK85" i="23"/>
  <c r="AK83" i="23"/>
  <c r="A3" i="24" l="1"/>
  <c r="A28" i="24"/>
  <c r="A10" i="24"/>
  <c r="A25" i="24"/>
  <c r="A16" i="24"/>
  <c r="A24" i="24"/>
  <c r="A20" i="24"/>
  <c r="A8" i="24"/>
  <c r="A26" i="24"/>
  <c r="A6" i="24"/>
  <c r="A30" i="24"/>
  <c r="A11" i="24"/>
  <c r="A21" i="24"/>
  <c r="A13" i="24"/>
  <c r="A23" i="24"/>
  <c r="A22" i="24"/>
  <c r="A17" i="24"/>
  <c r="A31" i="24"/>
  <c r="A2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BCAD56-E31D-4451-8EA4-957096277E75}" keepAlive="1" name="Query - Table 0" description="Connection to the 'Table 0' query in the workbook." type="5" refreshedVersion="8" background="1" saveData="1">
    <dbPr connection="Provider=Microsoft.Mashup.OleDb.1;Data Source=$Workbook$;Location=&quot;Table 0&quot;;Extended Properties=&quot;&quot;" command="SELECT * FROM [Table 0]"/>
  </connection>
  <connection id="2" xr16:uid="{4B396799-F893-48CA-8C46-6A878362073E}" keepAlive="1" name="Query - Week-by-Week Games Table (2)" description="Connection to the 'Week-by-Week Games Table (2)' query in the workbook." type="5" refreshedVersion="8" background="1" saveData="1">
    <dbPr connection="Provider=Microsoft.Mashup.OleDb.1;Data Source=$Workbook$;Location=&quot;Week-by-Week Games Table (2)&quot;;Extended Properties=&quot;&quot;" command="SELECT * FROM [Week-by-Week Games Table (2)]"/>
  </connection>
</connections>
</file>

<file path=xl/sharedStrings.xml><?xml version="1.0" encoding="utf-8"?>
<sst xmlns="http://schemas.openxmlformats.org/spreadsheetml/2006/main" count="7445" uniqueCount="677">
  <si>
    <t>OCT</t>
  </si>
  <si>
    <t>NOV</t>
  </si>
  <si>
    <t>DEC</t>
  </si>
  <si>
    <t>AFC</t>
  </si>
  <si>
    <t>NFC</t>
  </si>
  <si>
    <t>N</t>
  </si>
  <si>
    <t>E</t>
  </si>
  <si>
    <t>S</t>
  </si>
  <si>
    <t>W</t>
  </si>
  <si>
    <t>GB</t>
  </si>
  <si>
    <t>KC</t>
  </si>
  <si>
    <t>TB</t>
  </si>
  <si>
    <t>LAC</t>
  </si>
  <si>
    <t>Name</t>
  </si>
  <si>
    <t>Gm#</t>
  </si>
  <si>
    <t>LAR</t>
  </si>
  <si>
    <t>LV</t>
  </si>
  <si>
    <t>NYG</t>
  </si>
  <si>
    <t>SF</t>
  </si>
  <si>
    <t>NE</t>
  </si>
  <si>
    <t>NO</t>
  </si>
  <si>
    <t>NYJ</t>
  </si>
  <si>
    <t>Winners</t>
  </si>
  <si>
    <t>Red Wing</t>
  </si>
  <si>
    <t>Lori Lynn</t>
  </si>
  <si>
    <t>NAME</t>
  </si>
  <si>
    <t>William</t>
  </si>
  <si>
    <t>BUF</t>
  </si>
  <si>
    <t>Divisional winners (2 pts each)</t>
  </si>
  <si>
    <t>Wildcard teams (3 pts each)</t>
  </si>
  <si>
    <t>Superbowl (3 pts)</t>
  </si>
  <si>
    <t>TOTALITY</t>
  </si>
  <si>
    <t>Totals</t>
  </si>
  <si>
    <t>Superbowl
Champ 
(4 pts)</t>
  </si>
  <si>
    <t>Regular Season Total</t>
  </si>
  <si>
    <t>Playoffs Total</t>
  </si>
  <si>
    <t>Max Score</t>
  </si>
  <si>
    <t>Notes</t>
  </si>
  <si>
    <t>DET</t>
  </si>
  <si>
    <t>PHI</t>
  </si>
  <si>
    <t>CIN</t>
  </si>
  <si>
    <t>BAL</t>
  </si>
  <si>
    <t>SEA</t>
  </si>
  <si>
    <t>WAS</t>
  </si>
  <si>
    <t>MIN</t>
  </si>
  <si>
    <t>MIA</t>
  </si>
  <si>
    <t>TEN</t>
  </si>
  <si>
    <t>CAR</t>
  </si>
  <si>
    <t>ARI</t>
  </si>
  <si>
    <t>DAL</t>
  </si>
  <si>
    <t>ATL</t>
  </si>
  <si>
    <t>JAX</t>
  </si>
  <si>
    <t>CLE</t>
  </si>
  <si>
    <t>CHI</t>
  </si>
  <si>
    <t>PIT</t>
  </si>
  <si>
    <t>HOU</t>
  </si>
  <si>
    <t>IND</t>
  </si>
  <si>
    <t>DEN</t>
  </si>
  <si>
    <t>Date</t>
  </si>
  <si>
    <t>Winner/tie</t>
  </si>
  <si>
    <t>Loser/tie</t>
  </si>
  <si>
    <t>Kansas City Chiefs</t>
  </si>
  <si>
    <t>Arizona Cardinals</t>
  </si>
  <si>
    <t>Minnesota Vikings</t>
  </si>
  <si>
    <t>Atlanta Falcons</t>
  </si>
  <si>
    <t>Baltimore Ravens</t>
  </si>
  <si>
    <t>Indianapolis Colts</t>
  </si>
  <si>
    <t>Buffalo Bills</t>
  </si>
  <si>
    <t>Houston Texans</t>
  </si>
  <si>
    <t>Carolina Panthers</t>
  </si>
  <si>
    <t>Cincinnati Bengals</t>
  </si>
  <si>
    <t>Chicago Bears</t>
  </si>
  <si>
    <t>Tennessee Titans</t>
  </si>
  <si>
    <t>Pittsburgh Steelers</t>
  </si>
  <si>
    <t>Cleveland Browns</t>
  </si>
  <si>
    <t>Dallas Cowboys</t>
  </si>
  <si>
    <t>New England Patriots</t>
  </si>
  <si>
    <t>Denver Broncos</t>
  </si>
  <si>
    <t>Detroit Lions</t>
  </si>
  <si>
    <t>Los Angeles Chargers</t>
  </si>
  <si>
    <t>Green Bay Packers</t>
  </si>
  <si>
    <t>Seattle Seahawks</t>
  </si>
  <si>
    <t>New York Giants</t>
  </si>
  <si>
    <t>Jacksonville Jaguars</t>
  </si>
  <si>
    <t>Las Vegas Raiders</t>
  </si>
  <si>
    <t>Los Angeles Rams</t>
  </si>
  <si>
    <t>Miami Dolphins</t>
  </si>
  <si>
    <t>New Orleans Saints</t>
  </si>
  <si>
    <t>New York Jets</t>
  </si>
  <si>
    <t>Philadelphia Eagles</t>
  </si>
  <si>
    <t>San Francisco 49ers</t>
  </si>
  <si>
    <t>Tampa Bay Buccaneers</t>
  </si>
  <si>
    <t>Washington Commanders</t>
  </si>
  <si>
    <t>POS</t>
  </si>
  <si>
    <t>Participant</t>
  </si>
  <si>
    <t>Week</t>
  </si>
  <si>
    <t>Column1</t>
  </si>
  <si>
    <t>PtsW</t>
  </si>
  <si>
    <t>PtsL</t>
  </si>
  <si>
    <t>1</t>
  </si>
  <si>
    <t>@</t>
  </si>
  <si>
    <t>21</t>
  </si>
  <si>
    <t>20</t>
  </si>
  <si>
    <t>31</t>
  </si>
  <si>
    <t>24</t>
  </si>
  <si>
    <t>3</t>
  </si>
  <si>
    <t>25</t>
  </si>
  <si>
    <t>9</t>
  </si>
  <si>
    <t>17</t>
  </si>
  <si>
    <t>16</t>
  </si>
  <si>
    <t>15</t>
  </si>
  <si>
    <t>7</t>
  </si>
  <si>
    <t>10</t>
  </si>
  <si>
    <t>34</t>
  </si>
  <si>
    <t>13</t>
  </si>
  <si>
    <t>0</t>
  </si>
  <si>
    <t>22</t>
  </si>
  <si>
    <t>2</t>
  </si>
  <si>
    <t>28</t>
  </si>
  <si>
    <t>27</t>
  </si>
  <si>
    <t>37</t>
  </si>
  <si>
    <t>23</t>
  </si>
  <si>
    <t>33</t>
  </si>
  <si>
    <t>26</t>
  </si>
  <si>
    <t>12</t>
  </si>
  <si>
    <t>6</t>
  </si>
  <si>
    <t>18</t>
  </si>
  <si>
    <t>19</t>
  </si>
  <si>
    <t>41</t>
  </si>
  <si>
    <t>11</t>
  </si>
  <si>
    <t>4</t>
  </si>
  <si>
    <t>29</t>
  </si>
  <si>
    <t>5</t>
  </si>
  <si>
    <t>14</t>
  </si>
  <si>
    <t>8</t>
  </si>
  <si>
    <t>Score</t>
  </si>
  <si>
    <t>SEPT</t>
  </si>
  <si>
    <t>Day</t>
  </si>
  <si>
    <t>Time</t>
  </si>
  <si>
    <t>YdsW</t>
  </si>
  <si>
    <t>TOW</t>
  </si>
  <si>
    <t>YdsL</t>
  </si>
  <si>
    <t>TOL</t>
  </si>
  <si>
    <t>Thu</t>
  </si>
  <si>
    <t>8:20PM</t>
  </si>
  <si>
    <t>boxscore</t>
  </si>
  <si>
    <t>Fri</t>
  </si>
  <si>
    <t>8:15PM</t>
  </si>
  <si>
    <t>Sun</t>
  </si>
  <si>
    <t>1:00PM</t>
  </si>
  <si>
    <t>4:05PM</t>
  </si>
  <si>
    <t>4:25PM</t>
  </si>
  <si>
    <t>Mon</t>
  </si>
  <si>
    <t>preview</t>
  </si>
  <si>
    <t>7:30PM</t>
  </si>
  <si>
    <t>9:30AM</t>
  </si>
  <si>
    <t>9:00PM</t>
  </si>
  <si>
    <t>12:30PM</t>
  </si>
  <si>
    <t>4:30PM</t>
  </si>
  <si>
    <t>3:00PM</t>
  </si>
  <si>
    <t>8:00PM</t>
  </si>
  <si>
    <t>8:30PM</t>
  </si>
  <si>
    <t>Sat</t>
  </si>
  <si>
    <t>Wed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</si>
  <si>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</si>
  <si>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</si>
  <si>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</si>
  <si>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</si>
  <si>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</si>
  <si>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</si>
  <si>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</si>
  <si>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</si>
  <si>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</si>
  <si>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</si>
  <si>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</si>
  <si>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</si>
  <si>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</si>
  <si>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/>
  </si>
  <si>
    <t>2024-09-05</t>
  </si>
  <si>
    <t>353</t>
  </si>
  <si>
    <t>452</t>
  </si>
  <si>
    <t>2024-09-06</t>
  </si>
  <si>
    <t>410</t>
  </si>
  <si>
    <t>414</t>
  </si>
  <si>
    <t>2024-09-08</t>
  </si>
  <si>
    <t>352</t>
  </si>
  <si>
    <t>270</t>
  </si>
  <si>
    <t>47</t>
  </si>
  <si>
    <t>379</t>
  </si>
  <si>
    <t>193</t>
  </si>
  <si>
    <t>312</t>
  </si>
  <si>
    <t>240</t>
  </si>
  <si>
    <t>148</t>
  </si>
  <si>
    <t>244</t>
  </si>
  <si>
    <t>290</t>
  </si>
  <si>
    <t>224</t>
  </si>
  <si>
    <t>400</t>
  </si>
  <si>
    <t>267</t>
  </si>
  <si>
    <t>226</t>
  </si>
  <si>
    <t>417</t>
  </si>
  <si>
    <t>303</t>
  </si>
  <si>
    <t>304</t>
  </si>
  <si>
    <t>231</t>
  </si>
  <si>
    <t>316</t>
  </si>
  <si>
    <t>296</t>
  </si>
  <si>
    <t>392</t>
  </si>
  <si>
    <t>299</t>
  </si>
  <si>
    <t>265</t>
  </si>
  <si>
    <t>230</t>
  </si>
  <si>
    <t>363</t>
  </si>
  <si>
    <t>387</t>
  </si>
  <si>
    <t>2024-09-09</t>
  </si>
  <si>
    <t>32</t>
  </si>
  <si>
    <t>401</t>
  </si>
  <si>
    <t>266</t>
  </si>
  <si>
    <t>2024-09-12</t>
  </si>
  <si>
    <t>247</t>
  </si>
  <si>
    <t>351</t>
  </si>
  <si>
    <t>2024-09-15</t>
  </si>
  <si>
    <t>383</t>
  </si>
  <si>
    <t>338</t>
  </si>
  <si>
    <t>44</t>
  </si>
  <si>
    <t>432</t>
  </si>
  <si>
    <t>297</t>
  </si>
  <si>
    <t>323</t>
  </si>
  <si>
    <t>216</t>
  </si>
  <si>
    <t>463</t>
  </si>
  <si>
    <t>260</t>
  </si>
  <si>
    <t>349</t>
  </si>
  <si>
    <t>159</t>
  </si>
  <si>
    <t>403</t>
  </si>
  <si>
    <t>358</t>
  </si>
  <si>
    <t>310</t>
  </si>
  <si>
    <t>425</t>
  </si>
  <si>
    <t>300</t>
  </si>
  <si>
    <t>489</t>
  </si>
  <si>
    <t>245</t>
  </si>
  <si>
    <t>286</t>
  </si>
  <si>
    <t>320</t>
  </si>
  <si>
    <t>251</t>
  </si>
  <si>
    <t>295</t>
  </si>
  <si>
    <t>205</t>
  </si>
  <si>
    <t>2024-09-16</t>
  </si>
  <si>
    <t>2024-09-19</t>
  </si>
  <si>
    <t>2024-09-22</t>
  </si>
  <si>
    <t>2024-09-23</t>
  </si>
  <si>
    <t>2024-09-26</t>
  </si>
  <si>
    <t>2024-09-29</t>
  </si>
  <si>
    <t>2024-09-30</t>
  </si>
  <si>
    <t>2024-10-03</t>
  </si>
  <si>
    <t>2024-10-06</t>
  </si>
  <si>
    <t>2024-10-07</t>
  </si>
  <si>
    <t>2024-10-10</t>
  </si>
  <si>
    <t>2024-10-13</t>
  </si>
  <si>
    <t>2024-10-14</t>
  </si>
  <si>
    <t>2024-10-17</t>
  </si>
  <si>
    <t>2024-10-20</t>
  </si>
  <si>
    <t>2024-10-21</t>
  </si>
  <si>
    <t>2024-10-24</t>
  </si>
  <si>
    <t>2024-10-27</t>
  </si>
  <si>
    <t>2024-10-28</t>
  </si>
  <si>
    <t>2024-10-31</t>
  </si>
  <si>
    <t>2024-11-03</t>
  </si>
  <si>
    <t>2024-11-04</t>
  </si>
  <si>
    <t>2024-11-07</t>
  </si>
  <si>
    <t>2024-11-10</t>
  </si>
  <si>
    <t>2024-11-11</t>
  </si>
  <si>
    <t>2024-11-14</t>
  </si>
  <si>
    <t>2024-11-17</t>
  </si>
  <si>
    <t>2024-11-18</t>
  </si>
  <si>
    <t>2024-11-21</t>
  </si>
  <si>
    <t>2024-11-24</t>
  </si>
  <si>
    <t>2024-11-25</t>
  </si>
  <si>
    <t>2024-11-28</t>
  </si>
  <si>
    <t>2024-11-29</t>
  </si>
  <si>
    <t>2024-12-01</t>
  </si>
  <si>
    <t>2024-12-02</t>
  </si>
  <si>
    <t>2024-12-05</t>
  </si>
  <si>
    <t>2024-12-08</t>
  </si>
  <si>
    <t>2024-12-09</t>
  </si>
  <si>
    <t>2024-12-12</t>
  </si>
  <si>
    <t>2024-12-15</t>
  </si>
  <si>
    <t>2024-12-16</t>
  </si>
  <si>
    <t>2024-12-19</t>
  </si>
  <si>
    <t>2024-12-21</t>
  </si>
  <si>
    <t>2024-12-22</t>
  </si>
  <si>
    <t>2024-12-23</t>
  </si>
  <si>
    <t>2024-12-25</t>
  </si>
  <si>
    <t>2024-12-26</t>
  </si>
  <si>
    <t>2024-12-29</t>
  </si>
  <si>
    <t>2024-12-30</t>
  </si>
  <si>
    <t>2025-01-05</t>
  </si>
  <si>
    <t>Column15</t>
  </si>
  <si>
    <t>Column16</t>
  </si>
  <si>
    <t>SJay</t>
  </si>
  <si>
    <t>Denise</t>
  </si>
  <si>
    <t>Bloomers</t>
  </si>
  <si>
    <t>Al</t>
  </si>
  <si>
    <t>Kyle</t>
  </si>
  <si>
    <t>385</t>
  </si>
  <si>
    <t>365</t>
  </si>
  <si>
    <t>NFL_Teams</t>
  </si>
  <si>
    <t>Abbreviation</t>
  </si>
  <si>
    <t>ABB</t>
  </si>
  <si>
    <t>CHX</t>
  </si>
  <si>
    <t>DEX</t>
  </si>
  <si>
    <t>Robyn</t>
  </si>
  <si>
    <t>Kaleb</t>
  </si>
  <si>
    <t>Karen</t>
  </si>
  <si>
    <t>Tom</t>
  </si>
  <si>
    <t>Colby</t>
  </si>
  <si>
    <t>Brian</t>
  </si>
  <si>
    <t>Shelley</t>
  </si>
  <si>
    <t>396</t>
  </si>
  <si>
    <t>139</t>
  </si>
  <si>
    <t>306</t>
  </si>
  <si>
    <t>395</t>
  </si>
  <si>
    <t>340</t>
  </si>
  <si>
    <t>217</t>
  </si>
  <si>
    <t>223</t>
  </si>
  <si>
    <t>30</t>
  </si>
  <si>
    <t>378</t>
  </si>
  <si>
    <t>237</t>
  </si>
  <si>
    <t>274</t>
  </si>
  <si>
    <t>460</t>
  </si>
  <si>
    <t>219</t>
  </si>
  <si>
    <t>346</t>
  </si>
  <si>
    <t>166</t>
  </si>
  <si>
    <t>36</t>
  </si>
  <si>
    <t>437</t>
  </si>
  <si>
    <t>331</t>
  </si>
  <si>
    <t>370</t>
  </si>
  <si>
    <t>373</t>
  </si>
  <si>
    <t>277</t>
  </si>
  <si>
    <t>456</t>
  </si>
  <si>
    <t>412</t>
  </si>
  <si>
    <t>345</t>
  </si>
  <si>
    <t>311</t>
  </si>
  <si>
    <t>388</t>
  </si>
  <si>
    <t>239</t>
  </si>
  <si>
    <t>38</t>
  </si>
  <si>
    <t>356</t>
  </si>
  <si>
    <t>436</t>
  </si>
  <si>
    <t>293</t>
  </si>
  <si>
    <t>315</t>
  </si>
  <si>
    <t>366</t>
  </si>
  <si>
    <t>375</t>
  </si>
  <si>
    <t>264</t>
  </si>
  <si>
    <t>322</t>
  </si>
  <si>
    <t>404</t>
  </si>
  <si>
    <t>186</t>
  </si>
  <si>
    <t>248</t>
  </si>
  <si>
    <t>374</t>
  </si>
  <si>
    <t>465</t>
  </si>
  <si>
    <t>435</t>
  </si>
  <si>
    <t>313</t>
  </si>
  <si>
    <t>445</t>
  </si>
  <si>
    <t>227</t>
  </si>
  <si>
    <t>42</t>
  </si>
  <si>
    <t>449</t>
  </si>
  <si>
    <t>431</t>
  </si>
  <si>
    <t>268</t>
  </si>
  <si>
    <t>241</t>
  </si>
  <si>
    <t>329</t>
  </si>
  <si>
    <t>35</t>
  </si>
  <si>
    <t>427</t>
  </si>
  <si>
    <t>236</t>
  </si>
  <si>
    <t>184</t>
  </si>
  <si>
    <t>389</t>
  </si>
  <si>
    <t>516</t>
  </si>
  <si>
    <t>550</t>
  </si>
  <si>
    <t>333</t>
  </si>
  <si>
    <t>253</t>
  </si>
  <si>
    <t>254</t>
  </si>
  <si>
    <t>276</t>
  </si>
  <si>
    <t>424</t>
  </si>
  <si>
    <t>292</t>
  </si>
  <si>
    <t>520</t>
  </si>
  <si>
    <t>442</t>
  </si>
  <si>
    <t>434</t>
  </si>
  <si>
    <t>212</t>
  </si>
  <si>
    <t>497</t>
  </si>
  <si>
    <t>447</t>
  </si>
  <si>
    <t>372</t>
  </si>
  <si>
    <t>384</t>
  </si>
  <si>
    <t>289</t>
  </si>
  <si>
    <t>330</t>
  </si>
  <si>
    <t>328</t>
  </si>
  <si>
    <t>420</t>
  </si>
  <si>
    <t>220</t>
  </si>
  <si>
    <t>483</t>
  </si>
  <si>
    <t>278</t>
  </si>
  <si>
    <t>269</t>
  </si>
  <si>
    <t>368</t>
  </si>
  <si>
    <t>291</t>
  </si>
  <si>
    <t>51</t>
  </si>
  <si>
    <t>594</t>
  </si>
  <si>
    <t>484</t>
  </si>
  <si>
    <t>305</t>
  </si>
  <si>
    <t>350</t>
  </si>
  <si>
    <t>275</t>
  </si>
  <si>
    <t>423</t>
  </si>
  <si>
    <t>335</t>
  </si>
  <si>
    <t>492</t>
  </si>
  <si>
    <t>309</t>
  </si>
  <si>
    <t>359</t>
  </si>
  <si>
    <t>393</t>
  </si>
  <si>
    <t>271</t>
  </si>
  <si>
    <t>364</t>
  </si>
  <si>
    <t>391</t>
  </si>
  <si>
    <t>339</t>
  </si>
  <si>
    <t>369</t>
  </si>
  <si>
    <t>336</t>
  </si>
  <si>
    <t>284</t>
  </si>
  <si>
    <t>337</t>
  </si>
  <si>
    <t>197</t>
  </si>
  <si>
    <t>119</t>
  </si>
  <si>
    <t>40</t>
  </si>
  <si>
    <t>421</t>
  </si>
  <si>
    <t>180</t>
  </si>
  <si>
    <t>259</t>
  </si>
  <si>
    <t>317</t>
  </si>
  <si>
    <t>409</t>
  </si>
  <si>
    <t>508</t>
  </si>
  <si>
    <t>481</t>
  </si>
  <si>
    <t>326</t>
  </si>
  <si>
    <t>386</t>
  </si>
  <si>
    <t>52</t>
  </si>
  <si>
    <t>225</t>
  </si>
  <si>
    <t>416</t>
  </si>
  <si>
    <t>394</t>
  </si>
  <si>
    <t>397</t>
  </si>
  <si>
    <t>280</t>
  </si>
  <si>
    <t>377</t>
  </si>
  <si>
    <t>422</t>
  </si>
  <si>
    <t>390</t>
  </si>
  <si>
    <t>233</t>
  </si>
  <si>
    <t>307</t>
  </si>
  <si>
    <t>334</t>
  </si>
  <si>
    <t>228</t>
  </si>
  <si>
    <t>469</t>
  </si>
  <si>
    <t>426</t>
  </si>
  <si>
    <t>325</t>
  </si>
  <si>
    <t>246</t>
  </si>
  <si>
    <t>342</t>
  </si>
  <si>
    <t>319</t>
  </si>
  <si>
    <t>215</t>
  </si>
  <si>
    <t>261</t>
  </si>
  <si>
    <t>411</t>
  </si>
  <si>
    <t>415</t>
  </si>
  <si>
    <t>470</t>
  </si>
  <si>
    <t>142</t>
  </si>
  <si>
    <t>242</t>
  </si>
  <si>
    <t>413</t>
  </si>
  <si>
    <t>468</t>
  </si>
  <si>
    <t>361</t>
  </si>
  <si>
    <t>402</t>
  </si>
  <si>
    <t>143</t>
  </si>
  <si>
    <t>348</t>
  </si>
  <si>
    <t>146</t>
  </si>
  <si>
    <t>406</t>
  </si>
  <si>
    <t>207</t>
  </si>
  <si>
    <t>238</t>
  </si>
  <si>
    <t>327</t>
  </si>
  <si>
    <t>473</t>
  </si>
  <si>
    <t>443</t>
  </si>
  <si>
    <t>645</t>
  </si>
  <si>
    <t>170</t>
  </si>
  <si>
    <t>318</t>
  </si>
  <si>
    <t>294</t>
  </si>
  <si>
    <t>332</t>
  </si>
  <si>
    <t>382</t>
  </si>
  <si>
    <t>398</t>
  </si>
  <si>
    <t>451</t>
  </si>
  <si>
    <t>285</t>
  </si>
  <si>
    <t>298</t>
  </si>
  <si>
    <t>405</t>
  </si>
  <si>
    <t>301</t>
  </si>
  <si>
    <t>187</t>
  </si>
  <si>
    <t>273</t>
  </si>
  <si>
    <t>258</t>
  </si>
  <si>
    <t>367</t>
  </si>
  <si>
    <t>252</t>
  </si>
  <si>
    <t>552</t>
  </si>
  <si>
    <t>433</t>
  </si>
  <si>
    <t>496</t>
  </si>
  <si>
    <t>302</t>
  </si>
  <si>
    <t>272</t>
  </si>
  <si>
    <t>457</t>
  </si>
  <si>
    <t>162</t>
  </si>
  <si>
    <t>288</t>
  </si>
  <si>
    <t>191</t>
  </si>
  <si>
    <t>235</t>
  </si>
  <si>
    <t>181</t>
  </si>
  <si>
    <t>48</t>
  </si>
  <si>
    <t>559</t>
  </si>
  <si>
    <t>521</t>
  </si>
  <si>
    <t>163</t>
  </si>
  <si>
    <t>506</t>
  </si>
  <si>
    <t>206</t>
  </si>
  <si>
    <t>208</t>
  </si>
  <si>
    <t>249</t>
  </si>
  <si>
    <t>380</t>
  </si>
  <si>
    <t>355</t>
  </si>
  <si>
    <t>418</t>
  </si>
  <si>
    <t>234</t>
  </si>
  <si>
    <t>475</t>
  </si>
  <si>
    <t>458</t>
  </si>
  <si>
    <t>321</t>
  </si>
  <si>
    <t>324</t>
  </si>
  <si>
    <t>314</t>
  </si>
  <si>
    <t>308</t>
  </si>
  <si>
    <t>381</t>
  </si>
  <si>
    <t>196</t>
  </si>
  <si>
    <t>211</t>
  </si>
  <si>
    <t>179</t>
  </si>
  <si>
    <t>2024-12-28</t>
  </si>
  <si>
    <t>428</t>
  </si>
  <si>
    <t>499</t>
  </si>
  <si>
    <t>8:10PM</t>
  </si>
  <si>
    <t>257</t>
  </si>
  <si>
    <t>281</t>
  </si>
  <si>
    <t>551</t>
  </si>
  <si>
    <t>204</t>
  </si>
  <si>
    <t>45</t>
  </si>
  <si>
    <t>446</t>
  </si>
  <si>
    <t>376</t>
  </si>
  <si>
    <t>441</t>
  </si>
  <si>
    <t>439</t>
  </si>
  <si>
    <t>2025-01-04</t>
  </si>
  <si>
    <t>537</t>
  </si>
  <si>
    <t>429</t>
  </si>
  <si>
    <t>479</t>
  </si>
  <si>
    <t>98</t>
  </si>
  <si>
    <t>262</t>
  </si>
  <si>
    <t>Playoffs</t>
  </si>
  <si>
    <t>WildCard</t>
  </si>
  <si>
    <t>2025-01-11</t>
  </si>
  <si>
    <t>464</t>
  </si>
  <si>
    <t>2025-01-12</t>
  </si>
  <si>
    <t>471</t>
  </si>
  <si>
    <t>2025-01-13</t>
  </si>
  <si>
    <t>Division</t>
  </si>
  <si>
    <t>2025-01-18</t>
  </si>
  <si>
    <t>2025-01-19</t>
  </si>
  <si>
    <t>6:30PM</t>
  </si>
  <si>
    <t>ConfChamp</t>
  </si>
  <si>
    <t>2025-01-26</t>
  </si>
  <si>
    <t>kc over philly</t>
  </si>
  <si>
    <t>lori lynn</t>
  </si>
  <si>
    <t>kaleb</t>
  </si>
  <si>
    <t>sjay</t>
  </si>
  <si>
    <t>red wing</t>
  </si>
  <si>
    <t>51 points
4-way tie</t>
  </si>
  <si>
    <t>philly over kc</t>
  </si>
  <si>
    <t>52 al</t>
  </si>
  <si>
    <t>51 lori lynn/kaleb</t>
  </si>
  <si>
    <t>180 pot</t>
  </si>
  <si>
    <t>2nd split</t>
  </si>
  <si>
    <t>Lori Lynn / Kaleb</t>
  </si>
  <si>
    <t>SCENARIOS</t>
  </si>
  <si>
    <t>tbd</t>
  </si>
  <si>
    <t>JAN</t>
  </si>
  <si>
    <t>Boots</t>
  </si>
  <si>
    <t>Me</t>
  </si>
  <si>
    <t>Frank</t>
  </si>
  <si>
    <t>Zelinski</t>
  </si>
  <si>
    <t>Norma Jean</t>
  </si>
  <si>
    <t>First</t>
  </si>
  <si>
    <t>nick</t>
  </si>
  <si>
    <t>Last</t>
  </si>
  <si>
    <t>fave</t>
  </si>
  <si>
    <t>Steelers</t>
  </si>
  <si>
    <t>Roberta</t>
  </si>
  <si>
    <t>Crew</t>
  </si>
  <si>
    <t>Chiefs</t>
  </si>
  <si>
    <t>Hamllik</t>
  </si>
  <si>
    <t>Bills</t>
  </si>
  <si>
    <t>Sandy</t>
  </si>
  <si>
    <t>Jacoby</t>
  </si>
  <si>
    <t>Broncos</t>
  </si>
  <si>
    <t>Mike</t>
  </si>
  <si>
    <t>emjay</t>
  </si>
  <si>
    <t>Chargers</t>
  </si>
  <si>
    <t>McCormick</t>
  </si>
  <si>
    <t>Seahawks</t>
  </si>
  <si>
    <t>Deluna</t>
  </si>
  <si>
    <t>Cowboys</t>
  </si>
  <si>
    <t>Sweet</t>
  </si>
  <si>
    <t>Hartill</t>
  </si>
  <si>
    <t>Schmidt</t>
  </si>
  <si>
    <t>49ers</t>
  </si>
  <si>
    <t>Spengler</t>
  </si>
  <si>
    <t>Carleton</t>
  </si>
  <si>
    <t>Raiduz</t>
  </si>
  <si>
    <t>Tom C</t>
  </si>
  <si>
    <t>Carrie</t>
  </si>
  <si>
    <t>AL</t>
  </si>
  <si>
    <t>Dave</t>
  </si>
  <si>
    <t>Theresa</t>
  </si>
  <si>
    <t>Dave C</t>
  </si>
  <si>
    <t>Lisa B</t>
  </si>
  <si>
    <t>Lisa</t>
  </si>
  <si>
    <t>Brelinski</t>
  </si>
  <si>
    <t xml:space="preserve">Seahawks </t>
  </si>
  <si>
    <t>Oregon QBs: Chargers, Broncos, Browns</t>
  </si>
  <si>
    <t>John</t>
  </si>
  <si>
    <t>Plechinger</t>
  </si>
  <si>
    <t>Forrest</t>
  </si>
  <si>
    <t>Fowles</t>
  </si>
  <si>
    <t>Denver</t>
  </si>
  <si>
    <t>Jesse</t>
  </si>
  <si>
    <t>Jones</t>
  </si>
  <si>
    <t>Jessse</t>
  </si>
  <si>
    <t>2025 payouts</t>
  </si>
  <si>
    <t>check</t>
  </si>
  <si>
    <t>covering</t>
  </si>
  <si>
    <t>Forest</t>
  </si>
  <si>
    <t>paid/owed</t>
  </si>
  <si>
    <t>cash</t>
  </si>
  <si>
    <t>-</t>
  </si>
  <si>
    <t>mailers</t>
  </si>
  <si>
    <t>notes</t>
  </si>
  <si>
    <t>Kaleb Robyn Kyle</t>
  </si>
  <si>
    <t>delivery</t>
  </si>
  <si>
    <t>form of payment</t>
  </si>
  <si>
    <t>mail</t>
  </si>
  <si>
    <t>person</t>
  </si>
  <si>
    <t>person (David)</t>
  </si>
  <si>
    <t>David</t>
  </si>
  <si>
    <t>Joe</t>
  </si>
  <si>
    <t>Battisti</t>
  </si>
  <si>
    <t>Texans</t>
  </si>
  <si>
    <t>Grant</t>
  </si>
  <si>
    <t>Zack</t>
  </si>
  <si>
    <t>Dunham</t>
  </si>
  <si>
    <t>Chrissy</t>
  </si>
  <si>
    <t>"when I win I'll let you know"</t>
  </si>
  <si>
    <t>Eagles</t>
  </si>
  <si>
    <t>full team names to be used for winners on rows 25, 74, and 123 on main</t>
  </si>
  <si>
    <t>Arizona  Cardinals</t>
  </si>
  <si>
    <t>Season Total</t>
  </si>
  <si>
    <t>Champ4</t>
  </si>
  <si>
    <t>SBteams3</t>
  </si>
  <si>
    <t>venmo</t>
  </si>
  <si>
    <t>zack/chrissy</t>
  </si>
  <si>
    <t>address</t>
  </si>
  <si>
    <t>Lisa Brelinski</t>
  </si>
  <si>
    <t xml:space="preserve">8129 SE 141st Ave.  </t>
  </si>
  <si>
    <t>Portland</t>
  </si>
  <si>
    <t>City</t>
  </si>
  <si>
    <t>Zip</t>
  </si>
  <si>
    <t>8605 SW Rogue Ln</t>
  </si>
  <si>
    <t>Wilsonville</t>
  </si>
  <si>
    <t>Willamina</t>
  </si>
  <si>
    <t>800 NE E St.</t>
  </si>
  <si>
    <t>97396-2722</t>
  </si>
  <si>
    <t>39873 Vista Rd</t>
  </si>
  <si>
    <t>Hemet</t>
  </si>
  <si>
    <t>5095 Territorial Dr.</t>
  </si>
  <si>
    <t>West Linn</t>
  </si>
  <si>
    <t>97068-3352</t>
  </si>
  <si>
    <t>896 SE 40th Ave</t>
  </si>
  <si>
    <t>Hillsboro</t>
  </si>
  <si>
    <t>Tom H</t>
  </si>
  <si>
    <t>3112 89th St. NW</t>
  </si>
  <si>
    <t xml:space="preserve">Gig Harbor </t>
  </si>
  <si>
    <t>98332-2123</t>
  </si>
  <si>
    <t>P.O. Box 715</t>
  </si>
  <si>
    <t>Warrenton</t>
  </si>
  <si>
    <t>28 checking</t>
  </si>
  <si>
    <t>300 savings</t>
  </si>
  <si>
    <t>owed 24</t>
  </si>
  <si>
    <t>have 273</t>
  </si>
  <si>
    <t>put 26 in checking</t>
  </si>
  <si>
    <t>300 in savings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</si>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</sst>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9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sz val="11"/>
      <color rgb="FF222222"/>
      <name val="Calibri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b/>
      <sz val="14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lightGray">
        <bgColor indexed="9"/>
      </patternFill>
    </fill>
    <fill>
      <patternFill patternType="gray0625">
        <bgColor indexed="9"/>
      </patternFill>
    </fill>
    <fill>
      <patternFill patternType="solid">
        <fgColor indexed="9"/>
        <bgColor theme="0"/>
      </patternFill>
    </fill>
    <fill>
      <patternFill patternType="gray0625"/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auto="1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6" borderId="0" applyNumberFormat="0" applyBorder="0" applyAlignment="0" applyProtection="0"/>
    <xf numFmtId="0" fontId="28" fillId="13" borderId="0" applyNumberFormat="0" applyBorder="0" applyAlignment="0" applyProtection="0"/>
  </cellStyleXfs>
  <cellXfs count="409">
    <xf numFmtId="0" fontId="0" fillId="0" borderId="0" xfId="0"/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5" fillId="0" borderId="18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2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16" xfId="0" applyFont="1" applyBorder="1" applyAlignment="1" applyProtection="1">
      <alignment horizontal="center"/>
      <protection locked="0"/>
    </xf>
    <xf numFmtId="0" fontId="4" fillId="2" borderId="43" xfId="0" applyFont="1" applyFill="1" applyBorder="1" applyProtection="1">
      <protection locked="0"/>
    </xf>
    <xf numFmtId="49" fontId="4" fillId="2" borderId="43" xfId="0" applyNumberFormat="1" applyFont="1" applyFill="1" applyBorder="1" applyProtection="1">
      <protection locked="0"/>
    </xf>
    <xf numFmtId="49" fontId="4" fillId="2" borderId="43" xfId="0" applyNumberFormat="1" applyFont="1" applyFill="1" applyBorder="1" applyAlignment="1" applyProtection="1">
      <alignment horizontal="center"/>
      <protection locked="0"/>
    </xf>
    <xf numFmtId="0" fontId="4" fillId="2" borderId="43" xfId="0" applyFont="1" applyFill="1" applyBorder="1" applyAlignment="1" applyProtection="1">
      <alignment horizontal="center"/>
      <protection locked="0"/>
    </xf>
    <xf numFmtId="49" fontId="4" fillId="2" borderId="42" xfId="0" applyNumberFormat="1" applyFont="1" applyFill="1" applyBorder="1" applyProtection="1">
      <protection locked="0"/>
    </xf>
    <xf numFmtId="0" fontId="6" fillId="0" borderId="39" xfId="0" applyFont="1" applyBorder="1"/>
    <xf numFmtId="0" fontId="6" fillId="0" borderId="40" xfId="0" applyFont="1" applyBorder="1"/>
    <xf numFmtId="0" fontId="6" fillId="0" borderId="41" xfId="0" applyFont="1" applyBorder="1"/>
    <xf numFmtId="0" fontId="6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1" xfId="0" applyFont="1" applyBorder="1"/>
    <xf numFmtId="0" fontId="6" fillId="0" borderId="67" xfId="0" applyFont="1" applyBorder="1"/>
    <xf numFmtId="0" fontId="6" fillId="0" borderId="21" xfId="0" applyFont="1" applyBorder="1" applyAlignment="1">
      <alignment horizontal="center"/>
    </xf>
    <xf numFmtId="0" fontId="3" fillId="0" borderId="25" xfId="0" applyFont="1" applyBorder="1" applyAlignment="1" applyProtection="1">
      <alignment horizontal="center"/>
      <protection locked="0"/>
    </xf>
    <xf numFmtId="0" fontId="3" fillId="0" borderId="46" xfId="0" applyFont="1" applyBorder="1" applyAlignment="1" applyProtection="1">
      <alignment horizontal="center"/>
      <protection locked="0"/>
    </xf>
    <xf numFmtId="0" fontId="10" fillId="0" borderId="44" xfId="0" applyFont="1" applyBorder="1" applyAlignment="1">
      <alignment vertical="center"/>
    </xf>
    <xf numFmtId="0" fontId="10" fillId="7" borderId="44" xfId="0" applyFont="1" applyFill="1" applyBorder="1" applyAlignment="1">
      <alignment vertical="center"/>
    </xf>
    <xf numFmtId="0" fontId="11" fillId="8" borderId="73" xfId="0" applyFont="1" applyFill="1" applyBorder="1" applyAlignment="1">
      <alignment horizontal="center" vertical="center"/>
    </xf>
    <xf numFmtId="0" fontId="12" fillId="8" borderId="74" xfId="0" applyFont="1" applyFill="1" applyBorder="1" applyAlignment="1" applyProtection="1">
      <alignment horizontal="left" vertical="center"/>
      <protection locked="0"/>
    </xf>
    <xf numFmtId="0" fontId="13" fillId="8" borderId="74" xfId="0" applyFont="1" applyFill="1" applyBorder="1" applyAlignment="1">
      <alignment horizontal="right" vertical="center" wrapText="1"/>
    </xf>
    <xf numFmtId="6" fontId="0" fillId="0" borderId="0" xfId="0" applyNumberFormat="1"/>
    <xf numFmtId="0" fontId="10" fillId="9" borderId="44" xfId="0" applyFont="1" applyFill="1" applyBorder="1" applyAlignment="1">
      <alignment vertical="center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51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 wrapText="1"/>
    </xf>
    <xf numFmtId="0" fontId="15" fillId="0" borderId="0" xfId="0" applyFo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/>
    <xf numFmtId="0" fontId="0" fillId="0" borderId="7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71" xfId="0" applyBorder="1" applyAlignment="1">
      <alignment horizontal="center"/>
    </xf>
    <xf numFmtId="49" fontId="4" fillId="2" borderId="42" xfId="0" applyNumberFormat="1" applyFont="1" applyFill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2" xfId="0" applyFont="1" applyFill="1" applyBorder="1" applyProtection="1">
      <protection locked="0"/>
    </xf>
    <xf numFmtId="0" fontId="4" fillId="3" borderId="20" xfId="0" applyFont="1" applyFill="1" applyBorder="1" applyAlignment="1" applyProtection="1">
      <alignment horizontal="center"/>
      <protection locked="0"/>
    </xf>
    <xf numFmtId="0" fontId="4" fillId="3" borderId="18" xfId="0" applyFont="1" applyFill="1" applyBorder="1" applyAlignment="1" applyProtection="1">
      <alignment horizontal="center"/>
      <protection locked="0"/>
    </xf>
    <xf numFmtId="0" fontId="4" fillId="5" borderId="18" xfId="0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16" fillId="0" borderId="26" xfId="0" applyFont="1" applyBorder="1" applyAlignment="1" applyProtection="1">
      <alignment horizontal="right"/>
      <protection locked="0"/>
    </xf>
    <xf numFmtId="0" fontId="16" fillId="0" borderId="44" xfId="0" applyFont="1" applyBorder="1" applyAlignment="1" applyProtection="1">
      <alignment horizontal="left"/>
      <protection locked="0"/>
    </xf>
    <xf numFmtId="0" fontId="0" fillId="10" borderId="0" xfId="0" applyFill="1"/>
    <xf numFmtId="0" fontId="0" fillId="11" borderId="0" xfId="0" applyFill="1"/>
    <xf numFmtId="0" fontId="6" fillId="12" borderId="0" xfId="0" applyFont="1" applyFill="1"/>
    <xf numFmtId="0" fontId="6" fillId="0" borderId="0" xfId="0" applyFont="1"/>
    <xf numFmtId="0" fontId="6" fillId="0" borderId="2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16" fillId="4" borderId="22" xfId="0" applyFont="1" applyFill="1" applyBorder="1" applyAlignment="1" applyProtection="1">
      <alignment horizontal="center" vertical="center"/>
      <protection locked="0"/>
    </xf>
    <xf numFmtId="0" fontId="16" fillId="4" borderId="36" xfId="0" applyFont="1" applyFill="1" applyBorder="1" applyAlignment="1" applyProtection="1">
      <alignment horizontal="center" vertical="center"/>
      <protection locked="0"/>
    </xf>
    <xf numFmtId="0" fontId="16" fillId="4" borderId="22" xfId="0" applyFont="1" applyFill="1" applyBorder="1" applyAlignment="1" applyProtection="1">
      <alignment horizontal="left" vertical="center"/>
      <protection locked="0"/>
    </xf>
    <xf numFmtId="0" fontId="16" fillId="4" borderId="36" xfId="0" applyFont="1" applyFill="1" applyBorder="1" applyAlignment="1" applyProtection="1">
      <alignment horizontal="left" vertical="center"/>
      <protection locked="0"/>
    </xf>
    <xf numFmtId="0" fontId="17" fillId="0" borderId="0" xfId="0" applyFont="1"/>
    <xf numFmtId="0" fontId="18" fillId="0" borderId="26" xfId="0" applyFont="1" applyBorder="1" applyAlignment="1" applyProtection="1">
      <alignment horizontal="right"/>
      <protection locked="0"/>
    </xf>
    <xf numFmtId="0" fontId="18" fillId="4" borderId="36" xfId="0" applyFont="1" applyFill="1" applyBorder="1" applyAlignment="1" applyProtection="1">
      <alignment horizontal="left" vertical="center"/>
      <protection locked="0"/>
    </xf>
    <xf numFmtId="0" fontId="18" fillId="4" borderId="22" xfId="0" applyFont="1" applyFill="1" applyBorder="1" applyAlignment="1" applyProtection="1">
      <alignment horizontal="left" vertical="center"/>
      <protection locked="0"/>
    </xf>
    <xf numFmtId="0" fontId="18" fillId="4" borderId="22" xfId="0" applyFont="1" applyFill="1" applyBorder="1" applyAlignment="1" applyProtection="1">
      <alignment horizontal="center" vertical="center"/>
      <protection locked="0"/>
    </xf>
    <xf numFmtId="0" fontId="18" fillId="4" borderId="36" xfId="0" applyFont="1" applyFill="1" applyBorder="1" applyAlignment="1" applyProtection="1">
      <alignment horizontal="center" vertical="center"/>
      <protection locked="0"/>
    </xf>
    <xf numFmtId="0" fontId="18" fillId="0" borderId="44" xfId="0" applyFont="1" applyBorder="1" applyAlignment="1" applyProtection="1">
      <alignment horizontal="left"/>
      <protection locked="0"/>
    </xf>
    <xf numFmtId="0" fontId="20" fillId="0" borderId="51" xfId="0" applyFont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19" fillId="0" borderId="23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5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9" fillId="0" borderId="36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7" fillId="0" borderId="27" xfId="0" applyFont="1" applyBorder="1"/>
    <xf numFmtId="0" fontId="17" fillId="0" borderId="2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21" fillId="0" borderId="0" xfId="0" applyFont="1" applyAlignment="1" applyProtection="1">
      <alignment horizontal="center"/>
      <protection locked="0"/>
    </xf>
    <xf numFmtId="0" fontId="19" fillId="0" borderId="22" xfId="0" applyFont="1" applyBorder="1" applyAlignment="1">
      <alignment horizontal="center" vertical="center"/>
    </xf>
    <xf numFmtId="0" fontId="22" fillId="0" borderId="0" xfId="0" applyFont="1"/>
    <xf numFmtId="0" fontId="23" fillId="2" borderId="43" xfId="0" applyFont="1" applyFill="1" applyBorder="1" applyProtection="1">
      <protection locked="0"/>
    </xf>
    <xf numFmtId="49" fontId="23" fillId="2" borderId="43" xfId="0" applyNumberFormat="1" applyFont="1" applyFill="1" applyBorder="1" applyAlignment="1" applyProtection="1">
      <alignment horizontal="center"/>
      <protection locked="0"/>
    </xf>
    <xf numFmtId="49" fontId="23" fillId="2" borderId="43" xfId="0" applyNumberFormat="1" applyFont="1" applyFill="1" applyBorder="1" applyProtection="1">
      <protection locked="0"/>
    </xf>
    <xf numFmtId="0" fontId="23" fillId="2" borderId="42" xfId="0" applyFont="1" applyFill="1" applyBorder="1" applyProtection="1">
      <protection locked="0"/>
    </xf>
    <xf numFmtId="0" fontId="23" fillId="2" borderId="43" xfId="0" applyFont="1" applyFill="1" applyBorder="1" applyAlignment="1" applyProtection="1">
      <alignment horizontal="center"/>
      <protection locked="0"/>
    </xf>
    <xf numFmtId="49" fontId="23" fillId="2" borderId="42" xfId="0" applyNumberFormat="1" applyFont="1" applyFill="1" applyBorder="1" applyAlignment="1" applyProtection="1">
      <alignment horizontal="center"/>
      <protection locked="0"/>
    </xf>
    <xf numFmtId="49" fontId="23" fillId="2" borderId="42" xfId="0" applyNumberFormat="1" applyFont="1" applyFill="1" applyBorder="1" applyProtection="1">
      <protection locked="0"/>
    </xf>
    <xf numFmtId="0" fontId="23" fillId="2" borderId="20" xfId="0" applyFont="1" applyFill="1" applyBorder="1" applyAlignment="1" applyProtection="1">
      <alignment horizontal="center"/>
      <protection locked="0"/>
    </xf>
    <xf numFmtId="0" fontId="23" fillId="2" borderId="5" xfId="0" applyFont="1" applyFill="1" applyBorder="1" applyAlignment="1" applyProtection="1">
      <alignment horizontal="center"/>
      <protection locked="0"/>
    </xf>
    <xf numFmtId="0" fontId="23" fillId="2" borderId="19" xfId="0" applyFont="1" applyFill="1" applyBorder="1" applyAlignment="1" applyProtection="1">
      <alignment horizontal="center"/>
      <protection locked="0"/>
    </xf>
    <xf numFmtId="0" fontId="23" fillId="2" borderId="7" xfId="0" applyFont="1" applyFill="1" applyBorder="1" applyAlignment="1" applyProtection="1">
      <alignment horizontal="center"/>
      <protection locked="0"/>
    </xf>
    <xf numFmtId="0" fontId="23" fillId="2" borderId="6" xfId="0" applyFont="1" applyFill="1" applyBorder="1" applyAlignment="1" applyProtection="1">
      <alignment horizontal="center"/>
      <protection locked="0"/>
    </xf>
    <xf numFmtId="0" fontId="23" fillId="2" borderId="18" xfId="0" applyFont="1" applyFill="1" applyBorder="1" applyAlignment="1" applyProtection="1">
      <alignment horizontal="center"/>
      <protection locked="0"/>
    </xf>
    <xf numFmtId="0" fontId="23" fillId="2" borderId="3" xfId="0" applyFont="1" applyFill="1" applyBorder="1" applyAlignment="1" applyProtection="1">
      <alignment horizontal="center"/>
      <protection locked="0"/>
    </xf>
    <xf numFmtId="0" fontId="24" fillId="0" borderId="14" xfId="0" applyFont="1" applyBorder="1" applyAlignment="1" applyProtection="1">
      <alignment horizontal="center"/>
      <protection locked="0"/>
    </xf>
    <xf numFmtId="0" fontId="24" fillId="0" borderId="10" xfId="0" applyFont="1" applyBorder="1" applyAlignment="1" applyProtection="1">
      <alignment horizontal="center"/>
      <protection locked="0"/>
    </xf>
    <xf numFmtId="0" fontId="24" fillId="0" borderId="46" xfId="0" applyFont="1" applyBorder="1" applyAlignment="1" applyProtection="1">
      <alignment horizontal="center"/>
      <protection locked="0"/>
    </xf>
    <xf numFmtId="0" fontId="24" fillId="0" borderId="25" xfId="0" applyFont="1" applyBorder="1" applyAlignment="1" applyProtection="1">
      <alignment horizontal="center"/>
      <protection locked="0"/>
    </xf>
    <xf numFmtId="0" fontId="23" fillId="3" borderId="20" xfId="0" applyFont="1" applyFill="1" applyBorder="1" applyAlignment="1" applyProtection="1">
      <alignment horizontal="center"/>
      <protection locked="0"/>
    </xf>
    <xf numFmtId="0" fontId="23" fillId="3" borderId="18" xfId="0" applyFont="1" applyFill="1" applyBorder="1" applyAlignment="1" applyProtection="1">
      <alignment horizontal="center"/>
      <protection locked="0"/>
    </xf>
    <xf numFmtId="0" fontId="23" fillId="5" borderId="18" xfId="0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18" xfId="0" applyFont="1" applyBorder="1" applyAlignment="1" applyProtection="1">
      <alignment horizontal="center" vertical="center"/>
      <protection locked="0"/>
    </xf>
    <xf numFmtId="0" fontId="25" fillId="0" borderId="5" xfId="0" applyFont="1" applyBorder="1" applyAlignment="1" applyProtection="1">
      <alignment horizontal="center" vertical="center"/>
      <protection locked="0"/>
    </xf>
    <xf numFmtId="0" fontId="23" fillId="3" borderId="7" xfId="0" applyFont="1" applyFill="1" applyBorder="1" applyAlignment="1" applyProtection="1">
      <alignment horizontal="center"/>
      <protection locked="0"/>
    </xf>
    <xf numFmtId="0" fontId="26" fillId="0" borderId="16" xfId="0" applyFont="1" applyBorder="1" applyAlignment="1" applyProtection="1">
      <alignment horizontal="center"/>
      <protection locked="0"/>
    </xf>
    <xf numFmtId="0" fontId="26" fillId="0" borderId="18" xfId="0" applyFont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22" fillId="0" borderId="0" xfId="0" applyFont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39" xfId="0" applyFont="1" applyBorder="1"/>
    <xf numFmtId="0" fontId="7" fillId="0" borderId="40" xfId="0" applyFont="1" applyBorder="1"/>
    <xf numFmtId="0" fontId="7" fillId="0" borderId="41" xfId="0" applyFont="1" applyBorder="1"/>
    <xf numFmtId="0" fontId="7" fillId="0" borderId="67" xfId="0" applyFont="1" applyBorder="1"/>
    <xf numFmtId="0" fontId="22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0" fontId="22" fillId="0" borderId="70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71" xfId="0" applyFont="1" applyBorder="1" applyAlignment="1">
      <alignment horizontal="center"/>
    </xf>
    <xf numFmtId="0" fontId="22" fillId="0" borderId="23" xfId="0" applyFont="1" applyBorder="1"/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8" xfId="0" applyFont="1" applyBorder="1"/>
    <xf numFmtId="0" fontId="22" fillId="0" borderId="5" xfId="0" applyFont="1" applyBorder="1" applyAlignment="1">
      <alignment horizontal="center"/>
    </xf>
    <xf numFmtId="0" fontId="22" fillId="0" borderId="72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27" fillId="0" borderId="8" xfId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13" borderId="0" xfId="2"/>
    <xf numFmtId="0" fontId="16" fillId="4" borderId="23" xfId="0" applyFont="1" applyFill="1" applyBorder="1" applyAlignment="1" applyProtection="1">
      <alignment horizontal="left" vertical="center"/>
      <protection locked="0"/>
    </xf>
    <xf numFmtId="0" fontId="16" fillId="4" borderId="23" xfId="0" applyFont="1" applyFill="1" applyBorder="1" applyAlignment="1" applyProtection="1">
      <alignment vertical="center"/>
      <protection locked="0"/>
    </xf>
    <xf numFmtId="0" fontId="16" fillId="4" borderId="36" xfId="0" applyFont="1" applyFill="1" applyBorder="1" applyAlignment="1" applyProtection="1">
      <alignment vertical="center"/>
      <protection locked="0"/>
    </xf>
    <xf numFmtId="0" fontId="16" fillId="4" borderId="22" xfId="0" applyFont="1" applyFill="1" applyBorder="1" applyAlignment="1" applyProtection="1">
      <alignment vertical="center"/>
      <protection locked="0"/>
    </xf>
    <xf numFmtId="0" fontId="16" fillId="4" borderId="76" xfId="0" applyFont="1" applyFill="1" applyBorder="1" applyAlignment="1" applyProtection="1">
      <alignment vertical="center"/>
      <protection locked="0"/>
    </xf>
    <xf numFmtId="0" fontId="16" fillId="4" borderId="76" xfId="0" applyFont="1" applyFill="1" applyBorder="1" applyAlignment="1" applyProtection="1">
      <alignment horizontal="left" vertical="center"/>
      <protection locked="0"/>
    </xf>
    <xf numFmtId="0" fontId="10" fillId="9" borderId="75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24" xfId="1" applyFill="1" applyBorder="1" applyAlignment="1">
      <alignment horizontal="center"/>
    </xf>
    <xf numFmtId="0" fontId="9" fillId="0" borderId="3" xfId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1" applyFill="1" applyBorder="1" applyAlignment="1">
      <alignment horizontal="center"/>
    </xf>
    <xf numFmtId="0" fontId="9" fillId="0" borderId="2" xfId="1" applyFill="1" applyBorder="1" applyAlignment="1">
      <alignment horizontal="center"/>
    </xf>
    <xf numFmtId="0" fontId="6" fillId="0" borderId="22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0" fillId="0" borderId="5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4" xfId="0" applyBorder="1" applyAlignment="1">
      <alignment horizontal="center" vertical="center"/>
    </xf>
    <xf numFmtId="0" fontId="16" fillId="4" borderId="22" xfId="0" applyFont="1" applyFill="1" applyBorder="1" applyAlignment="1" applyProtection="1">
      <alignment horizontal="center" vertical="center"/>
      <protection locked="0"/>
    </xf>
    <xf numFmtId="0" fontId="16" fillId="4" borderId="36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16" fillId="4" borderId="22" xfId="0" applyFont="1" applyFill="1" applyBorder="1" applyAlignment="1" applyProtection="1">
      <alignment horizontal="left" vertical="center"/>
      <protection locked="0"/>
    </xf>
    <xf numFmtId="0" fontId="16" fillId="4" borderId="36" xfId="0" applyFont="1" applyFill="1" applyBorder="1" applyAlignment="1" applyProtection="1">
      <alignment horizontal="left" vertical="center"/>
      <protection locked="0"/>
    </xf>
    <xf numFmtId="0" fontId="6" fillId="0" borderId="66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6" fillId="0" borderId="35" xfId="0" applyFont="1" applyBorder="1" applyAlignment="1" applyProtection="1">
      <alignment horizontal="center" vertical="center"/>
      <protection locked="0"/>
    </xf>
    <xf numFmtId="0" fontId="16" fillId="0" borderId="23" xfId="0" applyFont="1" applyBorder="1" applyAlignment="1" applyProtection="1">
      <alignment horizontal="center" vertical="center"/>
      <protection locked="0"/>
    </xf>
    <xf numFmtId="49" fontId="4" fillId="2" borderId="43" xfId="0" applyNumberFormat="1" applyFont="1" applyFill="1" applyBorder="1" applyAlignment="1" applyProtection="1">
      <alignment horizontal="center"/>
      <protection locked="0"/>
    </xf>
    <xf numFmtId="0" fontId="7" fillId="0" borderId="54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6" fillId="0" borderId="35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4" borderId="23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 wrapText="1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18" fillId="4" borderId="23" xfId="0" applyFont="1" applyFill="1" applyBorder="1" applyAlignment="1" applyProtection="1">
      <alignment horizontal="left" vertical="center"/>
      <protection locked="0"/>
    </xf>
    <xf numFmtId="0" fontId="18" fillId="4" borderId="36" xfId="0" applyFont="1" applyFill="1" applyBorder="1" applyAlignment="1" applyProtection="1">
      <alignment horizontal="left" vertical="center"/>
      <protection locked="0"/>
    </xf>
    <xf numFmtId="0" fontId="17" fillId="0" borderId="64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8" fillId="0" borderId="35" xfId="0" applyFont="1" applyBorder="1" applyAlignment="1" applyProtection="1">
      <alignment horizontal="center" vertical="center"/>
      <protection locked="0"/>
    </xf>
    <xf numFmtId="0" fontId="18" fillId="0" borderId="23" xfId="0" applyFont="1" applyBorder="1" applyAlignment="1" applyProtection="1">
      <alignment horizontal="center" vertical="center"/>
      <protection locked="0"/>
    </xf>
    <xf numFmtId="49" fontId="23" fillId="2" borderId="43" xfId="0" applyNumberFormat="1" applyFont="1" applyFill="1" applyBorder="1" applyAlignment="1" applyProtection="1">
      <alignment horizontal="center"/>
      <protection locked="0"/>
    </xf>
    <xf numFmtId="0" fontId="19" fillId="0" borderId="54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8" fillId="4" borderId="22" xfId="0" applyFont="1" applyFill="1" applyBorder="1" applyAlignment="1" applyProtection="1">
      <alignment horizontal="left" vertical="center"/>
      <protection locked="0"/>
    </xf>
    <xf numFmtId="0" fontId="18" fillId="4" borderId="22" xfId="0" applyFont="1" applyFill="1" applyBorder="1" applyAlignment="1" applyProtection="1">
      <alignment horizontal="center" vertical="center"/>
      <protection locked="0"/>
    </xf>
    <xf numFmtId="0" fontId="18" fillId="4" borderId="36" xfId="0" applyFont="1" applyFill="1" applyBorder="1" applyAlignment="1" applyProtection="1">
      <alignment horizontal="center" vertical="center"/>
      <protection locked="0"/>
    </xf>
    <xf numFmtId="0" fontId="19" fillId="0" borderId="5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22" fillId="0" borderId="27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8" xfId="0" applyFont="1" applyBorder="1" applyAlignment="1">
      <alignment horizontal="center"/>
    </xf>
    <xf numFmtId="0" fontId="19" fillId="0" borderId="35" xfId="0" applyFont="1" applyBorder="1" applyAlignment="1">
      <alignment horizontal="left" vertical="center"/>
    </xf>
    <xf numFmtId="0" fontId="22" fillId="0" borderId="31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17" fillId="0" borderId="31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7" fillId="0" borderId="24" xfId="1" applyFont="1" applyFill="1" applyBorder="1" applyAlignment="1">
      <alignment horizontal="center"/>
    </xf>
    <xf numFmtId="0" fontId="27" fillId="0" borderId="3" xfId="1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17" fillId="0" borderId="59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8" xfId="0" applyFont="1" applyBorder="1" applyAlignment="1">
      <alignment horizontal="center"/>
    </xf>
    <xf numFmtId="0" fontId="27" fillId="0" borderId="1" xfId="1" applyFont="1" applyFill="1" applyBorder="1" applyAlignment="1">
      <alignment horizontal="center"/>
    </xf>
    <xf numFmtId="0" fontId="27" fillId="0" borderId="2" xfId="1" applyFont="1" applyFill="1" applyBorder="1" applyAlignment="1">
      <alignment horizontal="center"/>
    </xf>
    <xf numFmtId="0" fontId="19" fillId="0" borderId="22" xfId="0" applyFont="1" applyBorder="1" applyAlignment="1">
      <alignment horizontal="left" vertical="center"/>
    </xf>
    <xf numFmtId="0" fontId="22" fillId="0" borderId="53" xfId="0" applyFont="1" applyBorder="1" applyAlignment="1">
      <alignment horizontal="center"/>
    </xf>
    <xf numFmtId="0" fontId="22" fillId="0" borderId="69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17" fillId="0" borderId="53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3">
    <cellStyle name="Bad" xfId="1" builtinId="27"/>
    <cellStyle name="Good" xfId="2" builtinId="26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9</xdr:row>
      <xdr:rowOff>180975</xdr:rowOff>
    </xdr:from>
    <xdr:to>
      <xdr:col>3</xdr:col>
      <xdr:colOff>692658</xdr:colOff>
      <xdr:row>11</xdr:row>
      <xdr:rowOff>17906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BB554DC-B2E7-E4F1-3F48-39D6CC65AB3D}"/>
            </a:ext>
          </a:extLst>
        </xdr:cNvPr>
        <xdr:cNvSpPr/>
      </xdr:nvSpPr>
      <xdr:spPr>
        <a:xfrm>
          <a:off x="2343150" y="1895475"/>
          <a:ext cx="683133" cy="21793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B5C8D2-E2CB-43B8-BCCC-4C43EC60F31C}" autoFormatId="16" applyNumberFormats="0" applyBorderFormats="0" applyFontFormats="0" applyPatternFormats="0" applyAlignmentFormats="0" applyWidthHeightFormats="0">
  <queryTableRefresh nextId="19" unboundColumnsRight="4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CB6AE-B195-4085-ABC6-C2542A537BC0}" name="Week_by_Week_Games_Table__2" displayName="Week_by_Week_Games_Table__2" ref="A1:R304" tableType="queryTable" totalsRowShown="0">
  <autoFilter ref="A1:R304" xr:uid="{F7ACB6AE-B195-4085-ABC6-C2542A537BC0}"/>
  <tableColumns count="18">
    <tableColumn id="1" xr3:uid="{CF71549D-8715-40D3-AEEB-00A7B3F8304F}" uniqueName="1" name="Column1" queryTableFieldId="1" dataDxfId="17"/>
    <tableColumn id="2" xr3:uid="{4A7EB48A-89B8-4803-B95E-834970735904}" uniqueName="2" name="Column2" queryTableFieldId="2" dataDxfId="16"/>
    <tableColumn id="3" xr3:uid="{316E2F63-F4A5-4030-9715-AEBC7C73E9C7}" uniqueName="3" name="Column3" queryTableFieldId="3" dataDxfId="15"/>
    <tableColumn id="4" xr3:uid="{8C9D02FE-7134-4AEE-9101-FC741C8AD60E}" uniqueName="4" name="Column4" queryTableFieldId="4" dataDxfId="14"/>
    <tableColumn id="5" xr3:uid="{47773593-4392-49B1-B4B8-425CD897DB6B}" uniqueName="5" name="Column5" queryTableFieldId="5" dataDxfId="13"/>
    <tableColumn id="6" xr3:uid="{EE1F097B-E278-4661-8B81-3F2DD5483EEC}" uniqueName="6" name="Column6" queryTableFieldId="6" dataDxfId="12"/>
    <tableColumn id="7" xr3:uid="{01602369-BAD3-4FB7-807E-6D6BE02E1F2E}" uniqueName="7" name="Column7" queryTableFieldId="7" dataDxfId="11"/>
    <tableColumn id="8" xr3:uid="{0D62E564-1C1C-4B2E-9FBC-C26A9E0DA76B}" uniqueName="8" name="Column8" queryTableFieldId="8" dataDxfId="10"/>
    <tableColumn id="9" xr3:uid="{A8FF9542-E813-437B-9D61-D5C4750925C7}" uniqueName="9" name="Column9" queryTableFieldId="9" dataDxfId="9"/>
    <tableColumn id="10" xr3:uid="{426FF1F2-943E-4FF8-A9E3-BB09AD6BC300}" uniqueName="10" name="Column10" queryTableFieldId="10" dataDxfId="8"/>
    <tableColumn id="11" xr3:uid="{1642CFC2-C8C6-4B06-AED7-259018C604CA}" uniqueName="11" name="Column11" queryTableFieldId="11" dataDxfId="7"/>
    <tableColumn id="12" xr3:uid="{C2740CA5-7138-40ED-B577-DC344EAA03B2}" uniqueName="12" name="Column12" queryTableFieldId="12" dataDxfId="6"/>
    <tableColumn id="13" xr3:uid="{EF3EAFDD-C684-42C2-BF9B-521BE1DD5E9A}" uniqueName="13" name="Column13" queryTableFieldId="13" dataDxfId="5"/>
    <tableColumn id="14" xr3:uid="{E884BF71-DC83-4815-9703-D5CC982DE327}" uniqueName="14" name="Column14" queryTableFieldId="14" dataDxfId="4"/>
    <tableColumn id="15" xr3:uid="{DD3478C9-BAB8-4107-A2E7-28A55DBB7AA1}" uniqueName="15" name="Column15" queryTableFieldId="15" dataDxfId="3">
      <calculatedColumnFormula>IF(I2&gt;J2, E2, IF(I2&lt;J2, G2, "Tie"))</calculatedColumnFormula>
    </tableColumn>
    <tableColumn id="16" xr3:uid="{01BB1C8F-4D5D-42C0-B784-AFB22B8A5EC0}" uniqueName="16" name="Column16" queryTableFieldId="16" dataDxfId="2"/>
    <tableColumn id="17" xr3:uid="{727560E6-8926-4BE2-AD08-61795FE2C82D}" uniqueName="17" name="NFL_Teams" queryTableFieldId="17" dataDxfId="1"/>
    <tableColumn id="18" xr3:uid="{893FACF7-E3EA-42C1-A83F-542A3C62FAF7}" uniqueName="18" name="Abbreviation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48A3AC-1344-45E8-A745-2735384E37E1}">
  <we:reference id="wa200000541" version="1.0.0.0" store="en-US" storeType="OMEX"/>
  <we:alternateReferences>
    <we:reference id="WA200000541" version="1.0.0.0" store="WA20000054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A9DD-885E-4907-8577-6BF832E47986}">
  <sheetPr filterMode="1">
    <pageSetUpPr fitToPage="1"/>
  </sheetPr>
  <dimension ref="A1:D31"/>
  <sheetViews>
    <sheetView tabSelected="1" topLeftCell="A19" workbookViewId="0">
      <selection activeCell="D1" sqref="D1:D1048576"/>
    </sheetView>
  </sheetViews>
  <sheetFormatPr defaultColWidth="11.140625" defaultRowHeight="15" x14ac:dyDescent="0.25"/>
  <cols>
    <col min="1" max="1" width="18" customWidth="1"/>
    <col min="2" max="2" width="25" customWidth="1"/>
    <col min="3" max="3" width="20" customWidth="1"/>
  </cols>
  <sheetData>
    <row r="1" spans="1:3" ht="37.5" customHeight="1" thickTop="1" thickBot="1" x14ac:dyDescent="0.3">
      <c r="A1" s="41" t="s">
        <v>93</v>
      </c>
      <c r="B1" s="42" t="s">
        <v>94</v>
      </c>
      <c r="C1" s="43" t="s">
        <v>135</v>
      </c>
    </row>
    <row r="2" spans="1:3" ht="37.5" thickTop="1" thickBot="1" x14ac:dyDescent="0.3">
      <c r="A2" s="182">
        <f>RANK(C2,C:C)</f>
        <v>1</v>
      </c>
      <c r="B2" s="176" t="s">
        <v>596</v>
      </c>
      <c r="C2" s="182">
        <f>main!AG85</f>
        <v>13</v>
      </c>
    </row>
    <row r="3" spans="1:3" ht="36.75" thickBot="1" x14ac:dyDescent="0.3">
      <c r="A3" s="40">
        <f>RANK(C3,C:C)</f>
        <v>2</v>
      </c>
      <c r="B3" s="179" t="s">
        <v>312</v>
      </c>
      <c r="C3" s="40">
        <f>main!AG40</f>
        <v>11</v>
      </c>
    </row>
    <row r="4" spans="1:3" ht="36.75" thickBot="1" x14ac:dyDescent="0.3">
      <c r="A4" s="40">
        <f>RANK(C4,C:C)</f>
        <v>2</v>
      </c>
      <c r="B4" s="179" t="s">
        <v>606</v>
      </c>
      <c r="C4" s="40">
        <f>main!AG130</f>
        <v>11</v>
      </c>
    </row>
    <row r="5" spans="1:3" ht="36.75" thickBot="1" x14ac:dyDescent="0.3">
      <c r="A5" s="39">
        <f>RANK(C5,C:C)</f>
        <v>2</v>
      </c>
      <c r="B5" s="87" t="s">
        <v>634</v>
      </c>
      <c r="C5" s="39">
        <f>main!AG144</f>
        <v>11</v>
      </c>
    </row>
    <row r="6" spans="1:3" ht="36.75" thickBot="1" x14ac:dyDescent="0.3">
      <c r="A6" s="45">
        <f>RANK(C6,C:C)</f>
        <v>5</v>
      </c>
      <c r="B6" s="179" t="s">
        <v>311</v>
      </c>
      <c r="C6" s="45">
        <f>main!AG42</f>
        <v>10</v>
      </c>
    </row>
    <row r="7" spans="1:3" ht="36.75" thickBot="1" x14ac:dyDescent="0.3">
      <c r="A7" s="40">
        <f>RANK(C7,C:C)</f>
        <v>5</v>
      </c>
      <c r="B7" s="87" t="s">
        <v>26</v>
      </c>
      <c r="C7" s="40">
        <f>main!AG138</f>
        <v>10</v>
      </c>
    </row>
    <row r="8" spans="1:3" ht="36.75" thickBot="1" x14ac:dyDescent="0.3">
      <c r="A8" s="45">
        <f>RANK(C8,C:C)</f>
        <v>5</v>
      </c>
      <c r="B8" s="87" t="s">
        <v>298</v>
      </c>
      <c r="C8" s="45">
        <f>main!AG93</f>
        <v>10</v>
      </c>
    </row>
    <row r="9" spans="1:3" ht="36.75" thickBot="1" x14ac:dyDescent="0.3">
      <c r="A9" s="45">
        <f>RANK(C9,C:C)</f>
        <v>8</v>
      </c>
      <c r="B9" s="181" t="s">
        <v>601</v>
      </c>
      <c r="C9" s="45">
        <f>main!AG128</f>
        <v>9</v>
      </c>
    </row>
    <row r="10" spans="1:3" ht="36.75" thickBot="1" x14ac:dyDescent="0.3">
      <c r="A10" s="40">
        <f>RANK(C10,C:C)</f>
        <v>8</v>
      </c>
      <c r="B10" s="177" t="s">
        <v>310</v>
      </c>
      <c r="C10" s="40">
        <f>main!AG36</f>
        <v>9</v>
      </c>
    </row>
    <row r="11" spans="1:3" ht="36.75" thickBot="1" x14ac:dyDescent="0.3">
      <c r="A11" s="39">
        <f>RANK(C11,C:C)</f>
        <v>8</v>
      </c>
      <c r="B11" s="181" t="s">
        <v>600</v>
      </c>
      <c r="C11" s="39">
        <f>main!AG95</f>
        <v>9</v>
      </c>
    </row>
    <row r="12" spans="1:3" ht="36.75" thickBot="1" x14ac:dyDescent="0.3">
      <c r="A12" s="40">
        <f>RANK(C12,C:C)</f>
        <v>8</v>
      </c>
      <c r="B12" s="178" t="s">
        <v>24</v>
      </c>
      <c r="C12" s="40">
        <f>main!AG30</f>
        <v>9</v>
      </c>
    </row>
    <row r="13" spans="1:3" ht="36.75" thickBot="1" x14ac:dyDescent="0.3">
      <c r="A13" s="39">
        <f>RANK(C13,C:C)</f>
        <v>8</v>
      </c>
      <c r="B13" s="181" t="s">
        <v>307</v>
      </c>
      <c r="C13" s="39">
        <f>main!AG89</f>
        <v>9</v>
      </c>
    </row>
    <row r="14" spans="1:3" ht="36.75" thickBot="1" x14ac:dyDescent="0.3">
      <c r="A14" s="45">
        <f>RANK(C14,C:C)</f>
        <v>8</v>
      </c>
      <c r="B14" s="88" t="s">
        <v>23</v>
      </c>
      <c r="C14" s="45">
        <f>main!AG136</f>
        <v>9</v>
      </c>
    </row>
    <row r="15" spans="1:3" ht="36.75" thickBot="1" x14ac:dyDescent="0.3">
      <c r="A15" s="39">
        <f>RANK(C15,C:C)</f>
        <v>8</v>
      </c>
      <c r="B15" s="181" t="s">
        <v>633</v>
      </c>
      <c r="C15" s="39">
        <f>main!AG142</f>
        <v>9</v>
      </c>
    </row>
    <row r="16" spans="1:3" ht="36.75" thickBot="1" x14ac:dyDescent="0.3">
      <c r="A16" s="40">
        <f>RANK(C16,C:C)</f>
        <v>15</v>
      </c>
      <c r="B16" s="178" t="s">
        <v>294</v>
      </c>
      <c r="C16" s="40">
        <f>main!AG32</f>
        <v>8</v>
      </c>
    </row>
    <row r="17" spans="1:4" ht="36.75" thickBot="1" x14ac:dyDescent="0.3">
      <c r="A17" s="39">
        <f>RANK(C17,C:C)</f>
        <v>15</v>
      </c>
      <c r="B17" s="181" t="s">
        <v>565</v>
      </c>
      <c r="C17" s="39">
        <f>main!AG81</f>
        <v>8</v>
      </c>
    </row>
    <row r="18" spans="1:4" ht="36.75" thickBot="1" x14ac:dyDescent="0.3">
      <c r="A18" s="45">
        <f>RANK(C18,C:C)</f>
        <v>15</v>
      </c>
      <c r="B18" s="178" t="s">
        <v>608</v>
      </c>
      <c r="C18" s="45">
        <f>main!AG132</f>
        <v>8</v>
      </c>
    </row>
    <row r="19" spans="1:4" ht="36.75" thickBot="1" x14ac:dyDescent="0.3">
      <c r="A19" s="40">
        <f>RANK(C19,C:C)</f>
        <v>15</v>
      </c>
      <c r="B19" s="181" t="s">
        <v>611</v>
      </c>
      <c r="C19" s="40">
        <f>main!AG134</f>
        <v>8</v>
      </c>
    </row>
    <row r="20" spans="1:4" ht="36.75" customHeight="1" thickBot="1" x14ac:dyDescent="0.3">
      <c r="A20" s="39">
        <f>RANK(C20,C:C)</f>
        <v>15</v>
      </c>
      <c r="B20" s="178" t="s">
        <v>563</v>
      </c>
      <c r="C20" s="39">
        <f>main!AG34</f>
        <v>8</v>
      </c>
    </row>
    <row r="21" spans="1:4" ht="36.75" customHeight="1" thickBot="1" x14ac:dyDescent="0.3">
      <c r="A21" s="45">
        <f>RANK(C21,C:C)</f>
        <v>15</v>
      </c>
      <c r="B21" s="180" t="s">
        <v>309</v>
      </c>
      <c r="C21" s="45">
        <f>main!AG46</f>
        <v>8</v>
      </c>
    </row>
    <row r="22" spans="1:4" ht="36.75" customHeight="1" thickBot="1" x14ac:dyDescent="0.3">
      <c r="A22" s="45">
        <f>RANK(C22,C:C)</f>
        <v>15</v>
      </c>
      <c r="B22" s="88" t="s">
        <v>308</v>
      </c>
      <c r="C22" s="45">
        <f>main!AG48</f>
        <v>8</v>
      </c>
    </row>
    <row r="23" spans="1:4" ht="36.75" customHeight="1" thickBot="1" x14ac:dyDescent="0.3">
      <c r="A23" s="40">
        <f>RANK(C23,C:C)</f>
        <v>15</v>
      </c>
      <c r="B23" s="181" t="s">
        <v>297</v>
      </c>
      <c r="C23" s="40">
        <f>main!AG87</f>
        <v>8</v>
      </c>
    </row>
    <row r="24" spans="1:4" ht="36.75" customHeight="1" thickBot="1" x14ac:dyDescent="0.3">
      <c r="A24" s="40">
        <f>RANK(C24,C:C)</f>
        <v>23</v>
      </c>
      <c r="B24" s="88" t="s">
        <v>599</v>
      </c>
      <c r="C24" s="40">
        <f>main!AG97</f>
        <v>7</v>
      </c>
    </row>
    <row r="25" spans="1:4" ht="33.75" customHeight="1" thickBot="1" x14ac:dyDescent="0.3">
      <c r="A25" s="40">
        <f>RANK(C25,C:C)</f>
        <v>23</v>
      </c>
      <c r="B25" s="181" t="s">
        <v>595</v>
      </c>
      <c r="C25" s="40">
        <f>main!AG83</f>
        <v>7</v>
      </c>
    </row>
    <row r="26" spans="1:4" ht="34.5" customHeight="1" thickBot="1" x14ac:dyDescent="0.3">
      <c r="A26" s="40">
        <f>RANK(C26,C:C)</f>
        <v>23</v>
      </c>
      <c r="B26" s="88" t="s">
        <v>306</v>
      </c>
      <c r="C26" s="40">
        <f>main!AG91</f>
        <v>7</v>
      </c>
    </row>
    <row r="27" spans="1:4" ht="45" customHeight="1" thickBot="1" x14ac:dyDescent="0.3">
      <c r="A27" s="39">
        <f>RANK(C27,C:C)</f>
        <v>23</v>
      </c>
      <c r="B27" s="181" t="s">
        <v>630</v>
      </c>
      <c r="C27" s="39">
        <f>main!AG140</f>
        <v>7</v>
      </c>
    </row>
    <row r="28" spans="1:4" ht="36.75" customHeight="1" thickBot="1" x14ac:dyDescent="0.3">
      <c r="A28" s="40">
        <f>RANK(C28,C:C)</f>
        <v>23</v>
      </c>
      <c r="B28" s="178" t="s">
        <v>296</v>
      </c>
      <c r="C28" s="40">
        <f>main!AG44</f>
        <v>7</v>
      </c>
      <c r="D28" s="44"/>
    </row>
    <row r="29" spans="1:4" ht="36.75" customHeight="1" thickBot="1" x14ac:dyDescent="0.3">
      <c r="A29" s="39">
        <f>RANK(C29,C:C)</f>
        <v>23</v>
      </c>
      <c r="B29" s="88" t="s">
        <v>636</v>
      </c>
      <c r="C29" s="39">
        <f>main!AG146</f>
        <v>7</v>
      </c>
      <c r="D29" s="44"/>
    </row>
    <row r="30" spans="1:4" ht="36.75" customHeight="1" thickBot="1" x14ac:dyDescent="0.3">
      <c r="A30" s="45">
        <f>RANK(C30,C:C)</f>
        <v>29</v>
      </c>
      <c r="B30" s="178" t="s">
        <v>564</v>
      </c>
      <c r="C30" s="45">
        <f>main!AG38</f>
        <v>6</v>
      </c>
      <c r="D30" s="44"/>
    </row>
    <row r="31" spans="1:4" ht="36.75" customHeight="1" thickBot="1" x14ac:dyDescent="0.3">
      <c r="A31" s="40">
        <f>RANK(C31,C:C)</f>
        <v>30</v>
      </c>
      <c r="B31" s="88" t="s">
        <v>295</v>
      </c>
      <c r="C31" s="40">
        <f>main!AG79</f>
        <v>5</v>
      </c>
      <c r="D31" s="44"/>
    </row>
  </sheetData>
  <autoFilter ref="A1:A28" xr:uid="{A5B6A9DD-885E-4907-8577-6BF832E47986}">
    <filterColumn colId="0">
      <filters>
        <filter val="1"/>
        <filter val="15"/>
        <filter val="18"/>
        <filter val="2"/>
        <filter val="8"/>
      </filters>
    </filterColumn>
    <sortState xmlns:xlrd2="http://schemas.microsoft.com/office/spreadsheetml/2017/richdata2" ref="A2:C31">
      <sortCondition ref="A1:A28"/>
    </sortState>
  </autoFilter>
  <sortState xmlns:xlrd2="http://schemas.microsoft.com/office/spreadsheetml/2017/richdata2" ref="A1:C28">
    <sortCondition descending="1" ref="C1:C28"/>
  </sortState>
  <pageMargins left="2" right="0" top="0.25" bottom="0.25" header="0.3" footer="0.3"/>
  <pageSetup scale="76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7EDB-C978-4089-85DC-789549605463}">
  <dimension ref="A1:F8"/>
  <sheetViews>
    <sheetView workbookViewId="0">
      <selection sqref="A1:F3"/>
    </sheetView>
  </sheetViews>
  <sheetFormatPr defaultRowHeight="15" x14ac:dyDescent="0.25"/>
  <sheetData>
    <row r="1" spans="1:6" x14ac:dyDescent="0.25">
      <c r="A1" s="183" t="s">
        <v>560</v>
      </c>
      <c r="B1" s="183"/>
      <c r="C1" s="183"/>
      <c r="D1" s="183"/>
      <c r="E1" s="183"/>
      <c r="F1" s="183"/>
    </row>
    <row r="2" spans="1:6" x14ac:dyDescent="0.25">
      <c r="A2" s="183"/>
      <c r="B2" s="183"/>
      <c r="C2" s="183"/>
      <c r="D2" s="183"/>
      <c r="E2" s="183"/>
      <c r="F2" s="183"/>
    </row>
    <row r="3" spans="1:6" x14ac:dyDescent="0.25">
      <c r="A3" s="183"/>
      <c r="B3" s="183"/>
      <c r="C3" s="183"/>
      <c r="D3" s="183"/>
      <c r="E3" s="183"/>
      <c r="F3" s="183"/>
    </row>
    <row r="4" spans="1:6" x14ac:dyDescent="0.25">
      <c r="B4" t="s">
        <v>548</v>
      </c>
    </row>
    <row r="5" spans="1:6" ht="30" x14ac:dyDescent="0.25">
      <c r="B5" s="48" t="s">
        <v>553</v>
      </c>
      <c r="C5" s="31" t="s">
        <v>549</v>
      </c>
      <c r="D5" s="31" t="s">
        <v>550</v>
      </c>
      <c r="E5" s="31" t="s">
        <v>551</v>
      </c>
      <c r="F5" s="31" t="s">
        <v>552</v>
      </c>
    </row>
    <row r="6" spans="1:6" x14ac:dyDescent="0.25">
      <c r="B6" s="48"/>
      <c r="C6" s="31"/>
      <c r="D6" s="31"/>
      <c r="E6" s="31"/>
      <c r="F6" s="31"/>
    </row>
    <row r="7" spans="1:6" x14ac:dyDescent="0.25">
      <c r="B7" t="s">
        <v>554</v>
      </c>
    </row>
    <row r="8" spans="1:6" x14ac:dyDescent="0.25">
      <c r="B8" t="s">
        <v>555</v>
      </c>
      <c r="C8" t="s">
        <v>556</v>
      </c>
    </row>
  </sheetData>
  <mergeCells count="1">
    <mergeCell ref="A1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9478-5AE1-4D92-9B78-3330406EC854}">
  <dimension ref="A1:N27"/>
  <sheetViews>
    <sheetView workbookViewId="0">
      <selection activeCell="F28" sqref="F28"/>
    </sheetView>
  </sheetViews>
  <sheetFormatPr defaultRowHeight="15" x14ac:dyDescent="0.25"/>
  <cols>
    <col min="1" max="1" width="25.5703125" customWidth="1"/>
    <col min="4" max="4" width="19.7109375" customWidth="1"/>
    <col min="5" max="5" width="10.85546875" bestFit="1" customWidth="1"/>
    <col min="6" max="6" width="11.140625" bestFit="1" customWidth="1"/>
    <col min="7" max="7" width="16" style="11" bestFit="1" customWidth="1"/>
    <col min="8" max="8" width="14.140625" bestFit="1" customWidth="1"/>
    <col min="9" max="9" width="16.42578125" bestFit="1" customWidth="1"/>
    <col min="11" max="11" width="12.140625" customWidth="1"/>
    <col min="12" max="12" width="18" bestFit="1" customWidth="1"/>
    <col min="13" max="13" width="11" bestFit="1" customWidth="1"/>
    <col min="14" max="14" width="10.7109375" bestFit="1" customWidth="1"/>
  </cols>
  <sheetData>
    <row r="1" spans="1:14" x14ac:dyDescent="0.25">
      <c r="A1" t="s">
        <v>614</v>
      </c>
      <c r="B1" t="s">
        <v>557</v>
      </c>
      <c r="D1" s="174">
        <v>2026</v>
      </c>
      <c r="E1" t="s">
        <v>618</v>
      </c>
      <c r="F1" t="s">
        <v>621</v>
      </c>
      <c r="G1" s="11" t="s">
        <v>625</v>
      </c>
      <c r="H1" t="s">
        <v>624</v>
      </c>
      <c r="I1" t="s">
        <v>616</v>
      </c>
      <c r="J1" t="s">
        <v>621</v>
      </c>
      <c r="K1" t="s">
        <v>622</v>
      </c>
      <c r="L1" t="s">
        <v>646</v>
      </c>
      <c r="M1" t="s">
        <v>650</v>
      </c>
      <c r="N1" t="s">
        <v>651</v>
      </c>
    </row>
    <row r="2" spans="1:14" x14ac:dyDescent="0.25">
      <c r="A2" t="s">
        <v>297</v>
      </c>
      <c r="B2">
        <f>PRODUCT(180,0.6)</f>
        <v>108</v>
      </c>
      <c r="D2" t="s">
        <v>24</v>
      </c>
      <c r="E2" s="74">
        <v>12</v>
      </c>
      <c r="F2" s="74">
        <v>2</v>
      </c>
      <c r="G2" s="11" t="s">
        <v>615</v>
      </c>
      <c r="H2" t="s">
        <v>626</v>
      </c>
      <c r="I2" t="s">
        <v>620</v>
      </c>
      <c r="J2">
        <v>1</v>
      </c>
      <c r="L2" t="s">
        <v>668</v>
      </c>
      <c r="M2" t="s">
        <v>669</v>
      </c>
      <c r="N2">
        <v>97146</v>
      </c>
    </row>
    <row r="3" spans="1:14" x14ac:dyDescent="0.25">
      <c r="A3" t="s">
        <v>558</v>
      </c>
      <c r="B3">
        <f>PRODUCT(180,0.4)</f>
        <v>72</v>
      </c>
      <c r="D3" t="s">
        <v>294</v>
      </c>
      <c r="E3" s="74">
        <v>20</v>
      </c>
      <c r="F3" s="74"/>
      <c r="G3" s="11" t="s">
        <v>619</v>
      </c>
      <c r="H3" t="s">
        <v>627</v>
      </c>
      <c r="I3" t="s">
        <v>563</v>
      </c>
    </row>
    <row r="4" spans="1:14" x14ac:dyDescent="0.25">
      <c r="A4" t="s">
        <v>559</v>
      </c>
      <c r="B4">
        <f>PRODUCT(72,0.5)</f>
        <v>36</v>
      </c>
      <c r="D4" t="s">
        <v>310</v>
      </c>
      <c r="E4" s="74">
        <v>12</v>
      </c>
      <c r="F4" s="74">
        <v>2</v>
      </c>
      <c r="G4" s="11" t="s">
        <v>615</v>
      </c>
      <c r="H4" t="s">
        <v>626</v>
      </c>
      <c r="I4" t="s">
        <v>620</v>
      </c>
      <c r="J4">
        <v>1</v>
      </c>
    </row>
    <row r="5" spans="1:14" x14ac:dyDescent="0.25">
      <c r="D5" t="s">
        <v>664</v>
      </c>
      <c r="E5" s="74">
        <v>22</v>
      </c>
      <c r="F5" s="74">
        <v>2</v>
      </c>
      <c r="G5" s="11" t="s">
        <v>619</v>
      </c>
      <c r="H5" t="s">
        <v>626</v>
      </c>
      <c r="I5" t="s">
        <v>308</v>
      </c>
      <c r="J5">
        <v>1</v>
      </c>
      <c r="L5" t="s">
        <v>665</v>
      </c>
      <c r="M5" t="s">
        <v>666</v>
      </c>
      <c r="N5" t="s">
        <v>667</v>
      </c>
    </row>
    <row r="6" spans="1:14" x14ac:dyDescent="0.25">
      <c r="D6" t="s">
        <v>311</v>
      </c>
      <c r="E6" s="74">
        <v>24</v>
      </c>
      <c r="F6" s="74">
        <v>4</v>
      </c>
      <c r="G6" s="11" t="s">
        <v>615</v>
      </c>
      <c r="H6" t="s">
        <v>626</v>
      </c>
      <c r="I6" t="s">
        <v>312</v>
      </c>
      <c r="J6">
        <v>2</v>
      </c>
    </row>
    <row r="7" spans="1:14" x14ac:dyDescent="0.25">
      <c r="D7" t="s">
        <v>567</v>
      </c>
      <c r="E7" s="74">
        <v>15</v>
      </c>
      <c r="F7" s="74">
        <v>2</v>
      </c>
      <c r="G7" s="11" t="s">
        <v>615</v>
      </c>
      <c r="H7" t="s">
        <v>626</v>
      </c>
      <c r="I7" t="s">
        <v>620</v>
      </c>
      <c r="J7">
        <v>1</v>
      </c>
    </row>
    <row r="8" spans="1:14" x14ac:dyDescent="0.25">
      <c r="D8" t="s">
        <v>295</v>
      </c>
      <c r="E8" s="74">
        <v>12</v>
      </c>
      <c r="F8" s="74">
        <v>2</v>
      </c>
      <c r="G8" s="11" t="s">
        <v>619</v>
      </c>
      <c r="H8" t="s">
        <v>626</v>
      </c>
      <c r="I8" t="s">
        <v>620</v>
      </c>
      <c r="J8">
        <v>1</v>
      </c>
      <c r="L8" t="s">
        <v>657</v>
      </c>
      <c r="M8" t="s">
        <v>658</v>
      </c>
      <c r="N8">
        <v>92543</v>
      </c>
    </row>
    <row r="9" spans="1:14" x14ac:dyDescent="0.25">
      <c r="D9" t="s">
        <v>565</v>
      </c>
      <c r="E9" s="74">
        <v>12</v>
      </c>
      <c r="F9" s="74">
        <v>2</v>
      </c>
      <c r="G9" s="11" t="s">
        <v>619</v>
      </c>
      <c r="H9" t="s">
        <v>627</v>
      </c>
      <c r="I9" t="s">
        <v>620</v>
      </c>
      <c r="J9">
        <v>1</v>
      </c>
    </row>
    <row r="10" spans="1:14" x14ac:dyDescent="0.25">
      <c r="D10" t="s">
        <v>309</v>
      </c>
      <c r="E10" s="74">
        <v>20</v>
      </c>
      <c r="F10" s="74"/>
      <c r="G10" s="11" t="s">
        <v>619</v>
      </c>
      <c r="H10" t="s">
        <v>628</v>
      </c>
      <c r="I10" t="s">
        <v>596</v>
      </c>
      <c r="J10">
        <v>2</v>
      </c>
    </row>
    <row r="11" spans="1:14" x14ac:dyDescent="0.25">
      <c r="D11" t="s">
        <v>297</v>
      </c>
      <c r="E11" s="74">
        <v>42</v>
      </c>
      <c r="F11" s="74">
        <v>2</v>
      </c>
      <c r="G11" s="11" t="s">
        <v>615</v>
      </c>
      <c r="H11" t="s">
        <v>626</v>
      </c>
      <c r="I11" t="s">
        <v>623</v>
      </c>
      <c r="J11">
        <v>1</v>
      </c>
      <c r="L11" t="s">
        <v>655</v>
      </c>
      <c r="M11" t="s">
        <v>654</v>
      </c>
      <c r="N11" t="s">
        <v>656</v>
      </c>
    </row>
    <row r="12" spans="1:14" x14ac:dyDescent="0.25">
      <c r="D12" t="s">
        <v>629</v>
      </c>
      <c r="E12" s="74">
        <v>20</v>
      </c>
      <c r="F12" s="74"/>
      <c r="G12" s="11" t="s">
        <v>619</v>
      </c>
      <c r="H12" t="s">
        <v>627</v>
      </c>
      <c r="I12" t="s">
        <v>599</v>
      </c>
      <c r="J12">
        <v>2</v>
      </c>
    </row>
    <row r="13" spans="1:14" x14ac:dyDescent="0.25">
      <c r="D13" t="s">
        <v>573</v>
      </c>
      <c r="E13" s="74">
        <v>22</v>
      </c>
      <c r="F13" s="74">
        <v>2</v>
      </c>
      <c r="G13" s="11" t="s">
        <v>615</v>
      </c>
      <c r="H13" t="s">
        <v>626</v>
      </c>
      <c r="I13" t="s">
        <v>26</v>
      </c>
      <c r="J13">
        <v>1</v>
      </c>
      <c r="L13" t="s">
        <v>652</v>
      </c>
      <c r="M13" t="s">
        <v>653</v>
      </c>
      <c r="N13">
        <v>97070</v>
      </c>
    </row>
    <row r="14" spans="1:14" x14ac:dyDescent="0.25">
      <c r="D14" t="s">
        <v>617</v>
      </c>
      <c r="E14" s="75">
        <v>24</v>
      </c>
      <c r="F14" s="75">
        <v>4</v>
      </c>
      <c r="I14" t="s">
        <v>611</v>
      </c>
      <c r="J14">
        <v>1</v>
      </c>
      <c r="L14" t="s">
        <v>662</v>
      </c>
      <c r="M14" t="s">
        <v>663</v>
      </c>
      <c r="N14">
        <v>97123</v>
      </c>
    </row>
    <row r="15" spans="1:14" x14ac:dyDescent="0.25">
      <c r="D15" t="s">
        <v>647</v>
      </c>
      <c r="E15" s="175">
        <v>22</v>
      </c>
      <c r="F15" s="175">
        <v>2</v>
      </c>
      <c r="G15" s="11" t="s">
        <v>615</v>
      </c>
      <c r="I15" t="s">
        <v>606</v>
      </c>
      <c r="J15">
        <v>1</v>
      </c>
      <c r="L15" t="s">
        <v>648</v>
      </c>
      <c r="M15" t="s">
        <v>649</v>
      </c>
      <c r="N15">
        <v>97236</v>
      </c>
    </row>
    <row r="16" spans="1:14" x14ac:dyDescent="0.25">
      <c r="D16" t="s">
        <v>564</v>
      </c>
      <c r="E16" s="175">
        <v>10</v>
      </c>
      <c r="F16" s="175"/>
      <c r="G16" s="11" t="s">
        <v>619</v>
      </c>
    </row>
    <row r="17" spans="4:14" x14ac:dyDescent="0.25">
      <c r="D17" t="s">
        <v>630</v>
      </c>
      <c r="E17" s="74">
        <v>10</v>
      </c>
      <c r="F17" s="74"/>
      <c r="G17" s="11" t="s">
        <v>619</v>
      </c>
      <c r="H17" t="s">
        <v>627</v>
      </c>
      <c r="J17">
        <v>1</v>
      </c>
    </row>
    <row r="18" spans="4:14" x14ac:dyDescent="0.25">
      <c r="D18" t="s">
        <v>633</v>
      </c>
      <c r="E18">
        <v>32</v>
      </c>
      <c r="F18">
        <v>2</v>
      </c>
      <c r="G18" s="11" t="s">
        <v>644</v>
      </c>
      <c r="I18" t="s">
        <v>645</v>
      </c>
      <c r="J18">
        <v>1</v>
      </c>
      <c r="L18" t="s">
        <v>659</v>
      </c>
      <c r="M18" t="s">
        <v>660</v>
      </c>
      <c r="N18" t="s">
        <v>661</v>
      </c>
    </row>
    <row r="19" spans="4:14" x14ac:dyDescent="0.25">
      <c r="E19">
        <f>SUM(E2:E18)</f>
        <v>331</v>
      </c>
      <c r="F19">
        <f>SUM(F2:F18)</f>
        <v>28</v>
      </c>
      <c r="J19">
        <f>SUM(J2:J18)</f>
        <v>18</v>
      </c>
    </row>
    <row r="21" spans="4:14" x14ac:dyDescent="0.25">
      <c r="E21" t="s">
        <v>671</v>
      </c>
      <c r="F21" t="s">
        <v>670</v>
      </c>
    </row>
    <row r="23" spans="4:14" x14ac:dyDescent="0.25">
      <c r="E23" t="s">
        <v>673</v>
      </c>
      <c r="F23" t="s">
        <v>672</v>
      </c>
    </row>
    <row r="26" spans="4:14" x14ac:dyDescent="0.25">
      <c r="F26" t="s">
        <v>674</v>
      </c>
    </row>
    <row r="27" spans="4:14" x14ac:dyDescent="0.25">
      <c r="F27" t="s">
        <v>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583D-89A9-499A-8C5B-7D9365C7DDBA}">
  <dimension ref="A1:AY147"/>
  <sheetViews>
    <sheetView workbookViewId="0">
      <selection activeCell="AK30" sqref="AK30:AN31"/>
    </sheetView>
  </sheetViews>
  <sheetFormatPr defaultRowHeight="15" x14ac:dyDescent="0.25"/>
  <cols>
    <col min="2" max="39" width="4.5703125" customWidth="1"/>
    <col min="40" max="42" width="4.140625" customWidth="1"/>
    <col min="43" max="43" width="3.85546875" customWidth="1"/>
    <col min="44" max="45" width="3.7109375" customWidth="1"/>
    <col min="46" max="46" width="3.7109375" bestFit="1" customWidth="1"/>
    <col min="47" max="47" width="3.42578125" bestFit="1" customWidth="1"/>
    <col min="48" max="48" width="3" bestFit="1" customWidth="1"/>
    <col min="49" max="49" width="5.42578125" bestFit="1" customWidth="1"/>
  </cols>
  <sheetData>
    <row r="1" spans="1:28" ht="15.75" thickBot="1" x14ac:dyDescent="0.3"/>
    <row r="2" spans="1:28" ht="15" customHeight="1" thickTop="1" x14ac:dyDescent="0.25">
      <c r="A2" s="271" t="s">
        <v>13</v>
      </c>
      <c r="B2" s="21"/>
      <c r="C2" s="21"/>
      <c r="D2" s="273" t="s">
        <v>136</v>
      </c>
      <c r="E2" s="273"/>
      <c r="F2" s="22"/>
      <c r="G2" s="67"/>
      <c r="H2" s="23"/>
      <c r="I2" s="273" t="s">
        <v>0</v>
      </c>
      <c r="J2" s="273"/>
      <c r="K2" s="67"/>
      <c r="L2" s="24"/>
      <c r="M2" s="23"/>
      <c r="N2" s="273" t="s">
        <v>1</v>
      </c>
      <c r="O2" s="273"/>
      <c r="P2" s="22"/>
      <c r="Q2" s="64"/>
      <c r="R2" s="23"/>
      <c r="S2" s="23"/>
      <c r="T2" s="22" t="s">
        <v>2</v>
      </c>
      <c r="U2" s="24"/>
      <c r="V2" s="25"/>
      <c r="W2" s="22"/>
      <c r="X2" s="22" t="s">
        <v>562</v>
      </c>
      <c r="Y2" s="22"/>
      <c r="Z2" s="274" t="s">
        <v>32</v>
      </c>
      <c r="AA2" s="275"/>
      <c r="AB2" s="403"/>
    </row>
    <row r="3" spans="1:28" ht="15.75" x14ac:dyDescent="0.25">
      <c r="A3" s="272"/>
      <c r="B3" s="4">
        <v>4</v>
      </c>
      <c r="C3" s="5">
        <v>5</v>
      </c>
      <c r="D3" s="5">
        <v>8</v>
      </c>
      <c r="E3" s="5">
        <v>14</v>
      </c>
      <c r="F3" s="5">
        <v>22</v>
      </c>
      <c r="G3" s="6">
        <v>29</v>
      </c>
      <c r="H3" s="4">
        <v>5</v>
      </c>
      <c r="I3" s="7">
        <v>12</v>
      </c>
      <c r="J3" s="5">
        <v>20</v>
      </c>
      <c r="K3" s="6">
        <v>26</v>
      </c>
      <c r="L3" s="7">
        <v>2</v>
      </c>
      <c r="M3" s="5">
        <v>9</v>
      </c>
      <c r="N3" s="5">
        <v>13</v>
      </c>
      <c r="O3" s="5">
        <v>23</v>
      </c>
      <c r="P3" s="5">
        <v>27</v>
      </c>
      <c r="Q3" s="65">
        <v>27</v>
      </c>
      <c r="R3" s="7">
        <v>7</v>
      </c>
      <c r="S3" s="8">
        <v>11</v>
      </c>
      <c r="T3" s="8">
        <v>18</v>
      </c>
      <c r="U3" s="8">
        <v>21</v>
      </c>
      <c r="V3" s="66">
        <v>25</v>
      </c>
      <c r="W3" s="7" t="s">
        <v>561</v>
      </c>
      <c r="X3" s="5" t="s">
        <v>561</v>
      </c>
      <c r="Y3" s="8" t="s">
        <v>561</v>
      </c>
      <c r="Z3" s="276"/>
      <c r="AA3" s="277"/>
      <c r="AB3" s="403"/>
    </row>
    <row r="4" spans="1:28" ht="16.5" thickBot="1" x14ac:dyDescent="0.3">
      <c r="A4" s="72" t="s">
        <v>14</v>
      </c>
      <c r="B4" s="9">
        <v>1</v>
      </c>
      <c r="C4" s="10">
        <v>2</v>
      </c>
      <c r="D4" s="10">
        <v>3</v>
      </c>
      <c r="E4" s="10">
        <v>4</v>
      </c>
      <c r="F4" s="10">
        <v>5</v>
      </c>
      <c r="G4" s="38">
        <v>6</v>
      </c>
      <c r="H4" s="37">
        <v>7</v>
      </c>
      <c r="I4" s="37">
        <v>8</v>
      </c>
      <c r="J4" s="10">
        <v>9</v>
      </c>
      <c r="K4" s="38">
        <v>10</v>
      </c>
      <c r="L4" s="37">
        <v>11</v>
      </c>
      <c r="M4" s="10">
        <v>12</v>
      </c>
      <c r="N4" s="10">
        <v>13</v>
      </c>
      <c r="O4" s="10">
        <v>14</v>
      </c>
      <c r="P4" s="10">
        <v>15</v>
      </c>
      <c r="Q4" s="38">
        <v>16</v>
      </c>
      <c r="R4" s="37">
        <v>17</v>
      </c>
      <c r="S4" s="10">
        <v>18</v>
      </c>
      <c r="T4" s="10">
        <v>19</v>
      </c>
      <c r="U4" s="37">
        <v>20</v>
      </c>
      <c r="V4" s="38">
        <v>21</v>
      </c>
      <c r="W4" s="37">
        <v>22</v>
      </c>
      <c r="X4" s="10">
        <v>23</v>
      </c>
      <c r="Y4" s="10">
        <v>24</v>
      </c>
      <c r="Z4" s="278"/>
      <c r="AA4" s="279"/>
      <c r="AB4" s="403"/>
    </row>
    <row r="5" spans="1:28" x14ac:dyDescent="0.25">
      <c r="A5" s="294" t="s">
        <v>24</v>
      </c>
      <c r="B5" s="68" t="s">
        <v>39</v>
      </c>
      <c r="C5" s="69" t="s">
        <v>10</v>
      </c>
      <c r="D5" s="69" t="s">
        <v>44</v>
      </c>
      <c r="E5" s="69" t="s">
        <v>15</v>
      </c>
      <c r="F5" s="69" t="s">
        <v>41</v>
      </c>
      <c r="G5" s="69" t="s">
        <v>57</v>
      </c>
      <c r="H5" s="69" t="s">
        <v>56</v>
      </c>
      <c r="I5" s="69" t="s">
        <v>54</v>
      </c>
      <c r="J5" s="69" t="s">
        <v>55</v>
      </c>
      <c r="K5" s="69" t="s">
        <v>11</v>
      </c>
      <c r="L5" s="69" t="s">
        <v>17</v>
      </c>
      <c r="M5" s="69" t="s">
        <v>27</v>
      </c>
      <c r="N5" s="69" t="s">
        <v>21</v>
      </c>
      <c r="O5" s="69" t="s">
        <v>51</v>
      </c>
      <c r="P5" s="69" t="s">
        <v>38</v>
      </c>
      <c r="Q5" s="69" t="s">
        <v>10</v>
      </c>
      <c r="R5" s="69" t="s">
        <v>54</v>
      </c>
      <c r="S5" s="69" t="s">
        <v>11</v>
      </c>
      <c r="T5" s="70" t="s">
        <v>15</v>
      </c>
      <c r="U5" s="69" t="s">
        <v>11</v>
      </c>
      <c r="V5" s="69" t="s">
        <v>49</v>
      </c>
      <c r="W5" s="69" t="s">
        <v>57</v>
      </c>
      <c r="X5" s="69" t="s">
        <v>51</v>
      </c>
      <c r="Y5" s="69" t="s">
        <v>42</v>
      </c>
      <c r="Z5" s="243">
        <f>SUM(B6:Y6)</f>
        <v>9</v>
      </c>
      <c r="AA5" s="189"/>
      <c r="AB5" s="404"/>
    </row>
    <row r="6" spans="1:28" ht="15.75" thickBot="1" x14ac:dyDescent="0.3">
      <c r="A6" s="256"/>
      <c r="B6" s="2">
        <f>IF(B25="Philadelphia Eagles",1,0)</f>
        <v>1</v>
      </c>
      <c r="C6" s="1">
        <f>IF(C25="Kansas City Chiefs",1,0)</f>
        <v>0</v>
      </c>
      <c r="D6" s="1">
        <f>IF(D25="Minnesota Vikings",1,0)</f>
        <v>1</v>
      </c>
      <c r="E6" s="1">
        <f>IF(E25="Los Angeles Rams",1,0)</f>
        <v>1</v>
      </c>
      <c r="F6" s="1">
        <f>IF(F25="Baltimore Ravens",1,0)</f>
        <v>0</v>
      </c>
      <c r="G6" s="1">
        <f>IF(G25="Denver Broncos",1,0)</f>
        <v>1</v>
      </c>
      <c r="H6" s="1">
        <f>IF(H25="Indianapolis Colts",1,0)</f>
        <v>1</v>
      </c>
      <c r="I6" s="1">
        <f>IF(I25="Pittsburgh Steelers",1,0)</f>
        <v>1</v>
      </c>
      <c r="J6" s="1">
        <f>IF(J25="Houston Texans",1,0)</f>
        <v>0</v>
      </c>
      <c r="K6" s="1">
        <f>IF(K25="Tampa Bay Buccaneers",1,0)</f>
        <v>1</v>
      </c>
      <c r="L6" s="1">
        <f>IF(L25="New York Giants",1,0)</f>
        <v>0</v>
      </c>
      <c r="M6" s="1">
        <f>IF(M25="Buffalo Bills",1,0)</f>
        <v>0</v>
      </c>
      <c r="N6" s="1">
        <f>IF(N25="New York Jets",1,0)</f>
        <v>0</v>
      </c>
      <c r="O6" s="1">
        <f>IF(O25="Jacksonville Jaguars",1,0)</f>
        <v>1</v>
      </c>
      <c r="P6" s="1">
        <f>IF(P25="Detroit Lions",1,0)</f>
        <v>0</v>
      </c>
      <c r="Q6" s="1">
        <f>IF(Q25="Kansas City Chiefs",1,0)</f>
        <v>0</v>
      </c>
      <c r="R6" s="1">
        <f>IF(R25="Pittsburgh Steelers",1,0)</f>
        <v>1</v>
      </c>
      <c r="S6" s="1">
        <f>IF(S25="Tampa Bay Buccaneers",1,0)</f>
        <v>0</v>
      </c>
      <c r="T6" s="1">
        <f>IF(T25="Los Angeles Rams",1,0)</f>
        <v>0</v>
      </c>
      <c r="U6" s="1">
        <f>IF(U25="Tampa Bay Buccaneers",1,0)</f>
        <v>0</v>
      </c>
      <c r="V6" s="1">
        <f>IF(V25="Dallas Cowboys",1,0)</f>
        <v>0</v>
      </c>
      <c r="W6" s="1">
        <f>IF(W25="Denver Broncos",1,0)</f>
        <v>0</v>
      </c>
      <c r="X6" s="1">
        <f>IF(X25="Jacksonville Jaguars",1,0)</f>
        <v>0</v>
      </c>
      <c r="Y6" s="1">
        <f>IF(Y25="Seattle Seahawks",1,0)</f>
        <v>0</v>
      </c>
      <c r="Z6" s="214"/>
      <c r="AA6" s="213"/>
      <c r="AB6" s="404"/>
    </row>
    <row r="7" spans="1:28" x14ac:dyDescent="0.25">
      <c r="A7" s="255" t="s">
        <v>294</v>
      </c>
      <c r="B7" s="68" t="s">
        <v>39</v>
      </c>
      <c r="C7" s="69" t="s">
        <v>12</v>
      </c>
      <c r="D7" s="69" t="s">
        <v>53</v>
      </c>
      <c r="E7" s="69" t="s">
        <v>15</v>
      </c>
      <c r="F7" s="69" t="s">
        <v>41</v>
      </c>
      <c r="G7" s="69" t="s">
        <v>57</v>
      </c>
      <c r="H7" s="69" t="s">
        <v>56</v>
      </c>
      <c r="I7" s="69" t="s">
        <v>54</v>
      </c>
      <c r="J7" s="69" t="s">
        <v>55</v>
      </c>
      <c r="K7" s="69" t="s">
        <v>11</v>
      </c>
      <c r="L7" s="69" t="s">
        <v>17</v>
      </c>
      <c r="M7" s="69" t="s">
        <v>27</v>
      </c>
      <c r="N7" s="69" t="s">
        <v>19</v>
      </c>
      <c r="O7" s="69" t="s">
        <v>48</v>
      </c>
      <c r="P7" s="69" t="s">
        <v>38</v>
      </c>
      <c r="Q7" s="69" t="s">
        <v>10</v>
      </c>
      <c r="R7" s="69" t="s">
        <v>41</v>
      </c>
      <c r="S7" s="69" t="s">
        <v>11</v>
      </c>
      <c r="T7" s="70" t="s">
        <v>15</v>
      </c>
      <c r="U7" s="69" t="s">
        <v>11</v>
      </c>
      <c r="V7" s="69" t="s">
        <v>43</v>
      </c>
      <c r="W7" s="69" t="s">
        <v>57</v>
      </c>
      <c r="X7" s="69" t="s">
        <v>46</v>
      </c>
      <c r="Y7" s="69" t="s">
        <v>18</v>
      </c>
      <c r="Z7" s="243">
        <f>SUM(B8:Y8)</f>
        <v>8</v>
      </c>
      <c r="AA7" s="189"/>
      <c r="AB7" s="404"/>
    </row>
    <row r="8" spans="1:28" ht="15.75" thickBot="1" x14ac:dyDescent="0.3">
      <c r="A8" s="256"/>
      <c r="B8" s="2">
        <f>IF(B25="Philadelphia Eagles",1,0)</f>
        <v>1</v>
      </c>
      <c r="C8" s="1">
        <f>IF(C25="Los Angeles Chargers",1,0)</f>
        <v>1</v>
      </c>
      <c r="D8" s="1">
        <f>IF(D25="Chicago Bears",1,0)</f>
        <v>0</v>
      </c>
      <c r="E8" s="1">
        <f>IF(E25="Los Angeles Rams",1,0)</f>
        <v>1</v>
      </c>
      <c r="F8" s="1">
        <f>IF(F25="Baltimore Ravens",1,0)</f>
        <v>0</v>
      </c>
      <c r="G8" s="1">
        <f>IF(G25="Denver Broncos",1,0)</f>
        <v>1</v>
      </c>
      <c r="H8" s="1">
        <f>IF(H25="Indianapolis Colts",1,0)</f>
        <v>1</v>
      </c>
      <c r="I8" s="1">
        <f>IF(I25="Pittsburgh Steelers",1,0)</f>
        <v>1</v>
      </c>
      <c r="J8" s="1">
        <f>IF(J25="Houston Texans",1,0)</f>
        <v>0</v>
      </c>
      <c r="K8" s="1">
        <f>IF(K25="Tampa Bay Buccaneers",1,0)</f>
        <v>1</v>
      </c>
      <c r="L8" s="1">
        <f>IF(L25="New York Giants",1,0)</f>
        <v>0</v>
      </c>
      <c r="M8" s="1">
        <f>IF(M25="Buffalo Bills",1,0)</f>
        <v>0</v>
      </c>
      <c r="N8" s="1">
        <f>IF(N25="New England Patriots",1,0)</f>
        <v>1</v>
      </c>
      <c r="O8" s="1">
        <f>IF(O25="Arizona Cardinals",1,0)</f>
        <v>0</v>
      </c>
      <c r="P8" s="1">
        <f>IF(P25="Detroit Lions",1,0)</f>
        <v>0</v>
      </c>
      <c r="Q8" s="1">
        <f>IF(Q25="Kansas City Chiefs",1,0)</f>
        <v>0</v>
      </c>
      <c r="R8" s="1">
        <f>IF(R25="Baltimore Ravens",1,0)</f>
        <v>0</v>
      </c>
      <c r="S8" s="1">
        <f>IF(S25="Tampa Bay Buccaneers",1,0)</f>
        <v>0</v>
      </c>
      <c r="T8" s="1">
        <f>IF(T25="Los Angeles Rams",1,0)</f>
        <v>0</v>
      </c>
      <c r="U8" s="1">
        <f>IF(U25="Tampa Bay Buccaneers",1,0)</f>
        <v>0</v>
      </c>
      <c r="V8" s="1">
        <f>IF(V25="Washington Commanders",1,0)</f>
        <v>0</v>
      </c>
      <c r="W8" s="1">
        <f>IF(W25="Denver Broncos",1,0)</f>
        <v>0</v>
      </c>
      <c r="X8" s="1">
        <f>IF(X25="Tennessee Titans",1,0)</f>
        <v>0</v>
      </c>
      <c r="Y8" s="3">
        <f>IF(Y25="San Francisco 49ers",1,0)</f>
        <v>0</v>
      </c>
      <c r="Z8" s="214"/>
      <c r="AA8" s="213"/>
      <c r="AB8" s="404"/>
    </row>
    <row r="9" spans="1:28" x14ac:dyDescent="0.25">
      <c r="A9" s="244" t="s">
        <v>563</v>
      </c>
      <c r="B9" s="71" t="s">
        <v>39</v>
      </c>
      <c r="C9" s="69" t="s">
        <v>12</v>
      </c>
      <c r="D9" s="69" t="s">
        <v>53</v>
      </c>
      <c r="E9" s="69" t="s">
        <v>46</v>
      </c>
      <c r="F9" s="69" t="s">
        <v>41</v>
      </c>
      <c r="G9" s="69" t="s">
        <v>57</v>
      </c>
      <c r="H9" s="69" t="s">
        <v>56</v>
      </c>
      <c r="I9" s="69" t="s">
        <v>54</v>
      </c>
      <c r="J9" s="69" t="s">
        <v>55</v>
      </c>
      <c r="K9" s="69" t="s">
        <v>11</v>
      </c>
      <c r="L9" s="69" t="s">
        <v>17</v>
      </c>
      <c r="M9" s="69" t="s">
        <v>27</v>
      </c>
      <c r="N9" s="69" t="s">
        <v>19</v>
      </c>
      <c r="O9" s="69" t="s">
        <v>48</v>
      </c>
      <c r="P9" s="69" t="s">
        <v>9</v>
      </c>
      <c r="Q9" s="69" t="s">
        <v>10</v>
      </c>
      <c r="R9" s="69" t="s">
        <v>41</v>
      </c>
      <c r="S9" s="69" t="s">
        <v>11</v>
      </c>
      <c r="T9" s="70" t="s">
        <v>15</v>
      </c>
      <c r="U9" s="69" t="s">
        <v>11</v>
      </c>
      <c r="V9" s="69" t="s">
        <v>49</v>
      </c>
      <c r="W9" s="69" t="s">
        <v>57</v>
      </c>
      <c r="X9" s="69" t="s">
        <v>46</v>
      </c>
      <c r="Y9" s="69" t="s">
        <v>18</v>
      </c>
      <c r="Z9" s="243">
        <f>SUM(B10:Y10)</f>
        <v>8</v>
      </c>
      <c r="AA9" s="189"/>
      <c r="AB9" s="404"/>
    </row>
    <row r="10" spans="1:28" ht="15.75" thickBot="1" x14ac:dyDescent="0.3">
      <c r="A10" s="245"/>
      <c r="B10" s="2">
        <f>IF(B25="Philadelphia Eagles",1,0)</f>
        <v>1</v>
      </c>
      <c r="C10" s="1">
        <f>IF(C25="Los Angeles Chargers",1,0)</f>
        <v>1</v>
      </c>
      <c r="D10" s="1">
        <f>IF(D25="Chicago Bears",1,0)</f>
        <v>0</v>
      </c>
      <c r="E10" s="1">
        <f>IF(E25="Tennessee Titans",1,0)</f>
        <v>0</v>
      </c>
      <c r="F10" s="1">
        <f>IF(F25="Baltimore Ravens",1,0)</f>
        <v>0</v>
      </c>
      <c r="G10" s="1">
        <f>IF(G25="Denver Broncos",1,0)</f>
        <v>1</v>
      </c>
      <c r="H10" s="1">
        <f>IF(H25="Indianapolis Colts",1,0)</f>
        <v>1</v>
      </c>
      <c r="I10" s="1">
        <f>IF(I25="Pittsburgh Steelers",1,0)</f>
        <v>1</v>
      </c>
      <c r="J10" s="1">
        <f>IF(J25="Houston Texans",1,0)</f>
        <v>0</v>
      </c>
      <c r="K10" s="1">
        <f>IF(K25="Tampa Bay Buccaneers",1,0)</f>
        <v>1</v>
      </c>
      <c r="L10" s="1">
        <f>IF(L25="New York Giants",1,0)</f>
        <v>0</v>
      </c>
      <c r="M10" s="1">
        <f>IF(M25="Buffalo Bills",1,0)</f>
        <v>0</v>
      </c>
      <c r="N10" s="1">
        <f>IF(N25="New England Patriots",1,0)</f>
        <v>1</v>
      </c>
      <c r="O10" s="1">
        <f>IF(O25="Arizona Cardinals",1,0)</f>
        <v>0</v>
      </c>
      <c r="P10" s="1">
        <f>IF(P25="Green Bay Packers",1,0)</f>
        <v>1</v>
      </c>
      <c r="Q10" s="1">
        <f>IF(Q25="Kansas City Chiefs",1,0)</f>
        <v>0</v>
      </c>
      <c r="R10" s="1">
        <f>IF(R25="Baltimore Ravens",1,0)</f>
        <v>0</v>
      </c>
      <c r="S10" s="1">
        <f>IF(S25="Tampa Bay Buccaneers",1,0)</f>
        <v>0</v>
      </c>
      <c r="T10" s="1">
        <f>IF(T25="Los Angeles Rams",1,0)</f>
        <v>0</v>
      </c>
      <c r="U10" s="1">
        <f>IF(U25="Tampa Bay Buccaneers",1,0)</f>
        <v>0</v>
      </c>
      <c r="V10" s="1">
        <f>IF(V25="Dallas Cowboys",1,0)</f>
        <v>0</v>
      </c>
      <c r="W10" s="1">
        <f>IF(W25="Denver Broncos",1,0)</f>
        <v>0</v>
      </c>
      <c r="X10" s="1">
        <f>IF(X25="Tennessee Titans",1,0)</f>
        <v>0</v>
      </c>
      <c r="Y10" s="3">
        <f>IF(Y25="San Francisco 49ers",1,0)</f>
        <v>0</v>
      </c>
      <c r="Z10" s="214"/>
      <c r="AA10" s="213"/>
      <c r="AB10" s="404"/>
    </row>
    <row r="11" spans="1:28" x14ac:dyDescent="0.25">
      <c r="A11" s="255" t="s">
        <v>310</v>
      </c>
      <c r="B11" s="68" t="s">
        <v>39</v>
      </c>
      <c r="C11" s="69" t="s">
        <v>12</v>
      </c>
      <c r="D11" s="69" t="s">
        <v>44</v>
      </c>
      <c r="E11" s="69" t="s">
        <v>15</v>
      </c>
      <c r="F11" s="69" t="s">
        <v>41</v>
      </c>
      <c r="G11" s="69" t="s">
        <v>57</v>
      </c>
      <c r="H11" s="69" t="s">
        <v>16</v>
      </c>
      <c r="I11" s="69" t="s">
        <v>54</v>
      </c>
      <c r="J11" s="69" t="s">
        <v>55</v>
      </c>
      <c r="K11" s="69" t="s">
        <v>11</v>
      </c>
      <c r="L11" s="69" t="s">
        <v>18</v>
      </c>
      <c r="M11" s="69" t="s">
        <v>27</v>
      </c>
      <c r="N11" s="69" t="s">
        <v>19</v>
      </c>
      <c r="O11" s="69" t="s">
        <v>48</v>
      </c>
      <c r="P11" s="69" t="s">
        <v>38</v>
      </c>
      <c r="Q11" s="69" t="s">
        <v>10</v>
      </c>
      <c r="R11" s="69" t="s">
        <v>41</v>
      </c>
      <c r="S11" s="69" t="s">
        <v>11</v>
      </c>
      <c r="T11" s="70" t="s">
        <v>15</v>
      </c>
      <c r="U11" s="69" t="s">
        <v>11</v>
      </c>
      <c r="V11" s="69" t="s">
        <v>43</v>
      </c>
      <c r="W11" s="69" t="s">
        <v>57</v>
      </c>
      <c r="X11" s="69" t="s">
        <v>51</v>
      </c>
      <c r="Y11" s="69" t="s">
        <v>18</v>
      </c>
      <c r="Z11" s="243">
        <f>SUM(B12:Y12)</f>
        <v>9</v>
      </c>
      <c r="AA11" s="189"/>
      <c r="AB11" s="404"/>
    </row>
    <row r="12" spans="1:28" ht="15.75" thickBot="1" x14ac:dyDescent="0.3">
      <c r="A12" s="256"/>
      <c r="B12" s="2">
        <f>IF(B25="Philadelphia Eagles",1,0)</f>
        <v>1</v>
      </c>
      <c r="C12" s="1">
        <f>IF(C25="Los Angeles Chargers",1,0)</f>
        <v>1</v>
      </c>
      <c r="D12" s="1">
        <f>IF(D25="Minnesota Vikings",1,0)</f>
        <v>1</v>
      </c>
      <c r="E12" s="1">
        <f>IF(E25="Los Angeles Rams",1,0)</f>
        <v>1</v>
      </c>
      <c r="F12" s="1">
        <f>IF(F25="Baltimore Ravens",1,0)</f>
        <v>0</v>
      </c>
      <c r="G12" s="1">
        <f>IF(G25="Denver Broncos",1,0)</f>
        <v>1</v>
      </c>
      <c r="H12" s="1">
        <f>IF(H25="Las Vegas Raiders",1,0)</f>
        <v>0</v>
      </c>
      <c r="I12" s="1">
        <f>IF(I25="Pittsburgh Steelers",1,0)</f>
        <v>1</v>
      </c>
      <c r="J12" s="1">
        <f>IF(J25="Houston Texans",1,0)</f>
        <v>0</v>
      </c>
      <c r="K12" s="1">
        <f>IF(K25="Tampa Bay Buccaneers",1,0)</f>
        <v>1</v>
      </c>
      <c r="L12" s="1">
        <f>IF(L25="San Francisco 49ers",1,0)</f>
        <v>1</v>
      </c>
      <c r="M12" s="1">
        <f>IF(M25="Buffalo Bills",1,0)</f>
        <v>0</v>
      </c>
      <c r="N12" s="1">
        <f>IF(N25="New England Patriots",1,0)</f>
        <v>1</v>
      </c>
      <c r="O12" s="1">
        <f>IF(O25="Arizona Cardinals",1,0)</f>
        <v>0</v>
      </c>
      <c r="P12" s="1">
        <f>IF(P25="Detroit Lions",1,0)</f>
        <v>0</v>
      </c>
      <c r="Q12" s="1">
        <f>IF(Q25="Kansas City Chiefs",1,0)</f>
        <v>0</v>
      </c>
      <c r="R12" s="1">
        <f>IF(R25="Baltimore Ravens",1,0)</f>
        <v>0</v>
      </c>
      <c r="S12" s="1">
        <f>IF(S25="Tampa Bay Buccaneers",1,0)</f>
        <v>0</v>
      </c>
      <c r="T12" s="1">
        <f>IF(T25="Los Angeles Rams",1,0)</f>
        <v>0</v>
      </c>
      <c r="U12" s="1">
        <f>IF(U25="Tampa Bay Buccaneers",1,0)</f>
        <v>0</v>
      </c>
      <c r="V12" s="1">
        <f>IF(V25="Washington Commanders",1,0)</f>
        <v>0</v>
      </c>
      <c r="W12" s="1">
        <f>IF(W25="Denver Broncos",1,0)</f>
        <v>0</v>
      </c>
      <c r="X12" s="1">
        <f>IF(X25="Jacksonville Jaguars",1,0)</f>
        <v>0</v>
      </c>
      <c r="Y12" s="3">
        <f>IF(Y25="San Francisco 49ers",1,0)</f>
        <v>0</v>
      </c>
      <c r="Z12" s="214"/>
      <c r="AA12" s="213"/>
      <c r="AB12" s="404"/>
    </row>
    <row r="13" spans="1:28" x14ac:dyDescent="0.25">
      <c r="A13" s="255" t="s">
        <v>564</v>
      </c>
      <c r="B13" s="68" t="s">
        <v>39</v>
      </c>
      <c r="C13" s="69" t="s">
        <v>10</v>
      </c>
      <c r="D13" s="69" t="s">
        <v>53</v>
      </c>
      <c r="E13" s="69" t="s">
        <v>15</v>
      </c>
      <c r="F13" s="69" t="s">
        <v>41</v>
      </c>
      <c r="G13" s="69" t="s">
        <v>57</v>
      </c>
      <c r="H13" s="69" t="s">
        <v>16</v>
      </c>
      <c r="I13" s="69" t="s">
        <v>54</v>
      </c>
      <c r="J13" s="69" t="s">
        <v>55</v>
      </c>
      <c r="K13" s="69" t="s">
        <v>11</v>
      </c>
      <c r="L13" s="69" t="s">
        <v>17</v>
      </c>
      <c r="M13" s="69" t="s">
        <v>27</v>
      </c>
      <c r="N13" s="69" t="s">
        <v>19</v>
      </c>
      <c r="O13" s="69" t="s">
        <v>48</v>
      </c>
      <c r="P13" s="69" t="s">
        <v>38</v>
      </c>
      <c r="Q13" s="69" t="s">
        <v>10</v>
      </c>
      <c r="R13" s="69" t="s">
        <v>41</v>
      </c>
      <c r="S13" s="69" t="s">
        <v>11</v>
      </c>
      <c r="T13" s="70" t="s">
        <v>15</v>
      </c>
      <c r="U13" s="69" t="s">
        <v>11</v>
      </c>
      <c r="V13" s="69" t="s">
        <v>43</v>
      </c>
      <c r="W13" s="69" t="s">
        <v>57</v>
      </c>
      <c r="X13" s="69" t="s">
        <v>51</v>
      </c>
      <c r="Y13" s="69" t="s">
        <v>18</v>
      </c>
      <c r="Z13" s="243">
        <f>SUM(B14:Y14)</f>
        <v>6</v>
      </c>
      <c r="AA13" s="189"/>
      <c r="AB13" s="404"/>
    </row>
    <row r="14" spans="1:28" ht="15.75" thickBot="1" x14ac:dyDescent="0.3">
      <c r="A14" s="256"/>
      <c r="B14" s="2">
        <f>IF(B25="Philadelphia Eagles",1,0)</f>
        <v>1</v>
      </c>
      <c r="C14" s="1">
        <f>IF(C25="Kansas City Chiefs",1,0)</f>
        <v>0</v>
      </c>
      <c r="D14" s="1">
        <f>IF(D25="Chicago Bears",1,0)</f>
        <v>0</v>
      </c>
      <c r="E14" s="1">
        <f>IF(E25="Los Angeles Rams",1,0)</f>
        <v>1</v>
      </c>
      <c r="F14" s="1">
        <f>IF(F25="Baltimore Ravens",1,0)</f>
        <v>0</v>
      </c>
      <c r="G14" s="1">
        <f>IF(G25="Denver Broncos",1,0)</f>
        <v>1</v>
      </c>
      <c r="H14" s="1">
        <f>IF(H25="Las Vegas Raiders",1,0)</f>
        <v>0</v>
      </c>
      <c r="I14" s="1">
        <f>IF(I25="Pittsburgh Steelers",1,0)</f>
        <v>1</v>
      </c>
      <c r="J14" s="1">
        <f>IF(J25="Houston Texans",1,0)</f>
        <v>0</v>
      </c>
      <c r="K14" s="1">
        <f>IF(K25="Tampa Bay Buccaneers",1,0)</f>
        <v>1</v>
      </c>
      <c r="L14" s="1">
        <f>IF(L25="New York Giants",1,0)</f>
        <v>0</v>
      </c>
      <c r="M14" s="1">
        <f>IF(M25="Buffalo Bills",1,0)</f>
        <v>0</v>
      </c>
      <c r="N14" s="1">
        <f>IF(N25="New England Patriots",1,0)</f>
        <v>1</v>
      </c>
      <c r="O14" s="1">
        <f>IF(O25="Arizona Cardinals",1,0)</f>
        <v>0</v>
      </c>
      <c r="P14" s="1">
        <f>IF(P25="Detroit Lions",1,0)</f>
        <v>0</v>
      </c>
      <c r="Q14" s="1">
        <f>IF(Q25="Kansas City Chiefs",1,0)</f>
        <v>0</v>
      </c>
      <c r="R14" s="1">
        <f>IF(R25="Baltimore Ravens",1,0)</f>
        <v>0</v>
      </c>
      <c r="S14" s="1">
        <f>IF(S25="Tampa Bay Buccaneers",1,0)</f>
        <v>0</v>
      </c>
      <c r="T14" s="1">
        <f>IF(T25="Los Angeles Rams",1,0)</f>
        <v>0</v>
      </c>
      <c r="U14" s="1">
        <f>IF(U25="Tampa Bay Buccaneers",1,0)</f>
        <v>0</v>
      </c>
      <c r="V14" s="1">
        <f>IF(V25="Washington Commanders",1,0)</f>
        <v>0</v>
      </c>
      <c r="W14" s="1">
        <f>IF(W25="Denver Broncos",1,0)</f>
        <v>0</v>
      </c>
      <c r="X14" s="1">
        <f>IF(X25="Jacksonville Jaguars",1,0)</f>
        <v>0</v>
      </c>
      <c r="Y14" s="3">
        <f>IF(Y25="San Francisco 49ers",1,0)</f>
        <v>0</v>
      </c>
      <c r="Z14" s="214"/>
      <c r="AA14" s="213"/>
      <c r="AB14" s="404"/>
    </row>
    <row r="15" spans="1:28" x14ac:dyDescent="0.25">
      <c r="A15" s="255" t="s">
        <v>312</v>
      </c>
      <c r="B15" s="68" t="s">
        <v>39</v>
      </c>
      <c r="C15" s="69" t="s">
        <v>12</v>
      </c>
      <c r="D15" s="69" t="s">
        <v>44</v>
      </c>
      <c r="E15" s="69" t="s">
        <v>15</v>
      </c>
      <c r="F15" s="69" t="s">
        <v>41</v>
      </c>
      <c r="G15" s="69" t="s">
        <v>57</v>
      </c>
      <c r="H15" s="69" t="s">
        <v>56</v>
      </c>
      <c r="I15" s="69" t="s">
        <v>54</v>
      </c>
      <c r="J15" s="69" t="s">
        <v>42</v>
      </c>
      <c r="K15" s="69" t="s">
        <v>20</v>
      </c>
      <c r="L15" s="69" t="s">
        <v>18</v>
      </c>
      <c r="M15" s="69" t="s">
        <v>27</v>
      </c>
      <c r="N15" s="69" t="s">
        <v>19</v>
      </c>
      <c r="O15" s="69" t="s">
        <v>48</v>
      </c>
      <c r="P15" s="69" t="s">
        <v>38</v>
      </c>
      <c r="Q15" s="69" t="s">
        <v>49</v>
      </c>
      <c r="R15" s="69" t="s">
        <v>41</v>
      </c>
      <c r="S15" s="69" t="s">
        <v>11</v>
      </c>
      <c r="T15" s="70" t="s">
        <v>42</v>
      </c>
      <c r="U15" s="69" t="s">
        <v>11</v>
      </c>
      <c r="V15" s="69" t="s">
        <v>49</v>
      </c>
      <c r="W15" s="69" t="s">
        <v>12</v>
      </c>
      <c r="X15" s="69" t="s">
        <v>51</v>
      </c>
      <c r="Y15" s="69" t="s">
        <v>42</v>
      </c>
      <c r="Z15" s="243">
        <f>SUM(B16:Y16)</f>
        <v>11</v>
      </c>
      <c r="AA15" s="189"/>
      <c r="AB15" s="404"/>
    </row>
    <row r="16" spans="1:28" ht="15.75" thickBot="1" x14ac:dyDescent="0.3">
      <c r="A16" s="256"/>
      <c r="B16" s="2">
        <f>IF(B25="Philadelphia Eagles",1,0)</f>
        <v>1</v>
      </c>
      <c r="C16" s="1">
        <f>IF(C25="Los Angeles Chargers",1,0)</f>
        <v>1</v>
      </c>
      <c r="D16" s="1">
        <f>IF(D25="Minnesota Vikings",1,0)</f>
        <v>1</v>
      </c>
      <c r="E16" s="1">
        <f>IF(E25="Los Angeles Rams",1,0)</f>
        <v>1</v>
      </c>
      <c r="F16" s="1">
        <f>IF(F25="Baltimore Ravens",1,0)</f>
        <v>0</v>
      </c>
      <c r="G16" s="1">
        <f>IF(G25="Denver Broncos",1,0)</f>
        <v>1</v>
      </c>
      <c r="H16" s="1">
        <f>IF(H25="Indianapolis Colts",1,0)</f>
        <v>1</v>
      </c>
      <c r="I16" s="1">
        <f>IF(I25="Pittsburgh Steelers",1,0)</f>
        <v>1</v>
      </c>
      <c r="J16" s="1">
        <f>IF(J25="Seattle Seahawks",1,0)</f>
        <v>1</v>
      </c>
      <c r="K16" s="1">
        <f>IF(K25="New Orleans Saints",1,0)</f>
        <v>0</v>
      </c>
      <c r="L16" s="1">
        <f>IF(L25="San Francisco 49ers",1,0)</f>
        <v>1</v>
      </c>
      <c r="M16" s="1">
        <f>IF(M25="Buffalo Bills",1,0)</f>
        <v>0</v>
      </c>
      <c r="N16" s="1">
        <f>IF(N25="New England Patriots",1,0)</f>
        <v>1</v>
      </c>
      <c r="O16" s="1">
        <f>IF(O25="Arizona Cardinals",1,0)</f>
        <v>0</v>
      </c>
      <c r="P16" s="1">
        <f>IF(P25="Detroit Lions",1,0)</f>
        <v>0</v>
      </c>
      <c r="Q16" s="1">
        <f>IF(Q25="Dallas Cowboys",1,0)</f>
        <v>1</v>
      </c>
      <c r="R16" s="1">
        <f>IF(R25="Baltimore Ravens",1,0)</f>
        <v>0</v>
      </c>
      <c r="S16" s="1">
        <f>IF(S25="Tampa Bay Buccaneers",1,0)</f>
        <v>0</v>
      </c>
      <c r="T16" s="1">
        <f>IF(T25="Seattle Seahawks",1,0)</f>
        <v>0</v>
      </c>
      <c r="U16" s="1">
        <f>IF(U25="Tampa Bay Buccaneers",1,0)</f>
        <v>0</v>
      </c>
      <c r="V16" s="1">
        <f>IF(V25="Dallas Cowboys",1,0)</f>
        <v>0</v>
      </c>
      <c r="W16" s="1">
        <f>IF(W25="Los Angeles Chargers",1,0)</f>
        <v>0</v>
      </c>
      <c r="X16" s="1">
        <f>IF(X25="Jacksonville Jaguars",1,0)</f>
        <v>0</v>
      </c>
      <c r="Y16" s="3">
        <f>IF(Y25="Seattle Seahawks",1,0)</f>
        <v>0</v>
      </c>
      <c r="Z16" s="214"/>
      <c r="AA16" s="213"/>
      <c r="AB16" s="404"/>
    </row>
    <row r="17" spans="1:51" x14ac:dyDescent="0.25">
      <c r="A17" s="255" t="s">
        <v>311</v>
      </c>
      <c r="B17" s="68" t="s">
        <v>39</v>
      </c>
      <c r="C17" s="69" t="s">
        <v>10</v>
      </c>
      <c r="D17" s="69" t="s">
        <v>44</v>
      </c>
      <c r="E17" s="69" t="s">
        <v>15</v>
      </c>
      <c r="F17" s="69" t="s">
        <v>38</v>
      </c>
      <c r="G17" s="69" t="s">
        <v>57</v>
      </c>
      <c r="H17" s="69" t="s">
        <v>16</v>
      </c>
      <c r="I17" s="69" t="s">
        <v>54</v>
      </c>
      <c r="J17" s="69" t="s">
        <v>42</v>
      </c>
      <c r="K17" s="69" t="s">
        <v>11</v>
      </c>
      <c r="L17" s="69" t="s">
        <v>17</v>
      </c>
      <c r="M17" s="69" t="s">
        <v>45</v>
      </c>
      <c r="N17" s="69" t="s">
        <v>19</v>
      </c>
      <c r="O17" s="69" t="s">
        <v>48</v>
      </c>
      <c r="P17" s="69" t="s">
        <v>38</v>
      </c>
      <c r="Q17" s="69" t="s">
        <v>10</v>
      </c>
      <c r="R17" s="69" t="s">
        <v>41</v>
      </c>
      <c r="S17" s="69" t="s">
        <v>50</v>
      </c>
      <c r="T17" s="70" t="s">
        <v>15</v>
      </c>
      <c r="U17" s="69" t="s">
        <v>47</v>
      </c>
      <c r="V17" s="69" t="s">
        <v>49</v>
      </c>
      <c r="W17" s="69" t="s">
        <v>57</v>
      </c>
      <c r="X17" s="69" t="s">
        <v>51</v>
      </c>
      <c r="Y17" s="69" t="s">
        <v>18</v>
      </c>
      <c r="Z17" s="243">
        <f>SUM(B18:Y18)</f>
        <v>10</v>
      </c>
      <c r="AA17" s="189"/>
      <c r="AB17" s="404"/>
    </row>
    <row r="18" spans="1:51" ht="15.75" thickBot="1" x14ac:dyDescent="0.3">
      <c r="A18" s="256"/>
      <c r="B18" s="2">
        <f>IF(B25="Philadelphia Eagles",1,0)</f>
        <v>1</v>
      </c>
      <c r="C18" s="1">
        <f>IF(C25="Kansas City Chiefs",1,0)</f>
        <v>0</v>
      </c>
      <c r="D18" s="1">
        <f>IF(D25="Minnesota Vikings",1,0)</f>
        <v>1</v>
      </c>
      <c r="E18" s="1">
        <f>IF(E25="Los Angeles Rams",1,0)</f>
        <v>1</v>
      </c>
      <c r="F18" s="1">
        <f>IF(F25="Detroit Lions",1,0)</f>
        <v>1</v>
      </c>
      <c r="G18" s="1">
        <f>IF(G25="Denver Broncos",1,0)</f>
        <v>1</v>
      </c>
      <c r="H18" s="1">
        <f>IF(H25="Las Vegas Raiders",1,0)</f>
        <v>0</v>
      </c>
      <c r="I18" s="1">
        <f>IF(I25="Pittsburgh Steelers",1,0)</f>
        <v>1</v>
      </c>
      <c r="J18" s="1">
        <f>IF(J25="Seattle Seahawks",1,0)</f>
        <v>1</v>
      </c>
      <c r="K18" s="1">
        <f>IF(K25="Tampa Bay Buccaneers",1,0)</f>
        <v>1</v>
      </c>
      <c r="L18" s="1">
        <f>IF(L25="New York Giants",1,0)</f>
        <v>0</v>
      </c>
      <c r="M18" s="1">
        <f>IF(M25="Miami Dolphins",1,0)</f>
        <v>1</v>
      </c>
      <c r="N18" s="1">
        <f>IF(N25="New England Patriots",1,0)</f>
        <v>1</v>
      </c>
      <c r="O18" s="1">
        <f>IF(O25="Arizona Cardinals",1,0)</f>
        <v>0</v>
      </c>
      <c r="P18" s="1">
        <f>IF(P25="Detroit Lions",1,0)</f>
        <v>0</v>
      </c>
      <c r="Q18" s="1">
        <f>IF(Q25="Kansas City Chiefs",1,0)</f>
        <v>0</v>
      </c>
      <c r="R18" s="1">
        <f>IF(R25="Baltimore Ravens",1,0)</f>
        <v>0</v>
      </c>
      <c r="S18" s="1">
        <f>IF(S25="Atlanta Falcons",1,0)</f>
        <v>0</v>
      </c>
      <c r="T18" s="1">
        <f>IF(T25="Los Angeles Rams",1,0)</f>
        <v>0</v>
      </c>
      <c r="U18" s="1">
        <f>IF(U25="Carolina Panthers",1,0)</f>
        <v>0</v>
      </c>
      <c r="V18" s="1">
        <f>IF(V25="Dallas Cowboys",1,0)</f>
        <v>0</v>
      </c>
      <c r="W18" s="1">
        <f>IF(W25="Denver Broncos",1,0)</f>
        <v>0</v>
      </c>
      <c r="X18" s="1">
        <f>IF(X25="Jacksonville Jaguars",1,0)</f>
        <v>0</v>
      </c>
      <c r="Y18" s="3">
        <f>IF(Y25="San Francisco 49ers",1,0)</f>
        <v>0</v>
      </c>
      <c r="Z18" s="214"/>
      <c r="AA18" s="213"/>
      <c r="AB18" s="404"/>
    </row>
    <row r="19" spans="1:51" x14ac:dyDescent="0.25">
      <c r="A19" s="255" t="s">
        <v>296</v>
      </c>
      <c r="B19" s="68" t="s">
        <v>39</v>
      </c>
      <c r="C19" s="69" t="s">
        <v>10</v>
      </c>
      <c r="D19" s="69" t="s">
        <v>44</v>
      </c>
      <c r="E19" s="69" t="s">
        <v>46</v>
      </c>
      <c r="F19" s="69" t="s">
        <v>41</v>
      </c>
      <c r="G19" s="69" t="s">
        <v>57</v>
      </c>
      <c r="H19" s="69" t="s">
        <v>16</v>
      </c>
      <c r="I19" s="69" t="s">
        <v>54</v>
      </c>
      <c r="J19" s="69" t="s">
        <v>42</v>
      </c>
      <c r="K19" s="69" t="s">
        <v>11</v>
      </c>
      <c r="L19" s="69" t="s">
        <v>17</v>
      </c>
      <c r="M19" s="69" t="s">
        <v>27</v>
      </c>
      <c r="N19" s="69" t="s">
        <v>21</v>
      </c>
      <c r="O19" s="69" t="s">
        <v>51</v>
      </c>
      <c r="P19" s="69" t="s">
        <v>38</v>
      </c>
      <c r="Q19" s="69" t="s">
        <v>10</v>
      </c>
      <c r="R19" s="69" t="s">
        <v>41</v>
      </c>
      <c r="S19" s="69" t="s">
        <v>11</v>
      </c>
      <c r="T19" s="70" t="s">
        <v>15</v>
      </c>
      <c r="U19" s="69" t="s">
        <v>11</v>
      </c>
      <c r="V19" s="69" t="s">
        <v>43</v>
      </c>
      <c r="W19" s="69" t="s">
        <v>12</v>
      </c>
      <c r="X19" s="69" t="s">
        <v>51</v>
      </c>
      <c r="Y19" s="69" t="s">
        <v>42</v>
      </c>
      <c r="Z19" s="243">
        <f>SUM(B20:Y20)</f>
        <v>7</v>
      </c>
      <c r="AA19" s="189"/>
      <c r="AB19" s="404"/>
    </row>
    <row r="20" spans="1:51" ht="15.75" thickBot="1" x14ac:dyDescent="0.3">
      <c r="A20" s="256"/>
      <c r="B20" s="2">
        <f>IF(B25="Philadelphia Eagles",1,0)</f>
        <v>1</v>
      </c>
      <c r="C20" s="1">
        <f>IF(C25="Kansas City Chiefs",1,0)</f>
        <v>0</v>
      </c>
      <c r="D20" s="1">
        <f>IF(D25="Minnesota Vikings",1,0)</f>
        <v>1</v>
      </c>
      <c r="E20" s="1">
        <f>IF(E25="Tennessee Titans",1,0)</f>
        <v>0</v>
      </c>
      <c r="F20" s="1">
        <f>IF(F25="Baltimore Ravens",1,0)</f>
        <v>0</v>
      </c>
      <c r="G20" s="1">
        <f>IF(G25="Denver Broncos",1,0)</f>
        <v>1</v>
      </c>
      <c r="H20" s="1">
        <f>IF(H25="Las Vegas Raiders",1,0)</f>
        <v>0</v>
      </c>
      <c r="I20" s="1">
        <f>IF(I25="Pittsburgh Steelers",1,0)</f>
        <v>1</v>
      </c>
      <c r="J20" s="1">
        <f>IF(J25="Seattle Seahawks",1,0)</f>
        <v>1</v>
      </c>
      <c r="K20" s="1">
        <f>IF(K25="Tampa Bay Buccaneers",1,0)</f>
        <v>1</v>
      </c>
      <c r="L20" s="1">
        <f>IF(L25="New York Giants",1,0)</f>
        <v>0</v>
      </c>
      <c r="M20" s="1">
        <f>IF(M25="Buffalo Bills",1,0)</f>
        <v>0</v>
      </c>
      <c r="N20" s="1">
        <f>IF(N25="New York Jets",1,0)</f>
        <v>0</v>
      </c>
      <c r="O20" s="1">
        <f>IF(O25="Jacksonville Jaguars",1,0)</f>
        <v>1</v>
      </c>
      <c r="P20" s="1">
        <f>IF(P25="Detroit Lions",1,0)</f>
        <v>0</v>
      </c>
      <c r="Q20" s="1">
        <f>IF(Q25="Kansas City Chiefs",1,0)</f>
        <v>0</v>
      </c>
      <c r="R20" s="1">
        <f>IF(R25="Baltimore Ravens",1,0)</f>
        <v>0</v>
      </c>
      <c r="S20" s="1">
        <f>IF(S25="Tampa Bay Buccaneers",1,0)</f>
        <v>0</v>
      </c>
      <c r="T20" s="1">
        <f>IF(T25="Los Angeles Rams",1,0)</f>
        <v>0</v>
      </c>
      <c r="U20" s="1">
        <f>IF(U25="Tampa Bay Buccaneers",1,0)</f>
        <v>0</v>
      </c>
      <c r="V20" s="1">
        <f>IF(V25="Washington Commanders",1,0)</f>
        <v>0</v>
      </c>
      <c r="W20" s="1">
        <f>IF(W25="Los Angeles Chargers",1,0)</f>
        <v>0</v>
      </c>
      <c r="X20" s="1">
        <f>IF(X25="Jacksonville Jaguars",1,0)</f>
        <v>0</v>
      </c>
      <c r="Y20" s="3">
        <f>IF(Y25="Seattle Seahawks",1,0)</f>
        <v>0</v>
      </c>
      <c r="Z20" s="214"/>
      <c r="AA20" s="213"/>
      <c r="AB20" s="404"/>
    </row>
    <row r="21" spans="1:51" x14ac:dyDescent="0.25">
      <c r="A21" s="294" t="s">
        <v>309</v>
      </c>
      <c r="B21" s="68" t="s">
        <v>39</v>
      </c>
      <c r="C21" s="69" t="s">
        <v>10</v>
      </c>
      <c r="D21" s="69" t="s">
        <v>53</v>
      </c>
      <c r="E21" s="69" t="s">
        <v>15</v>
      </c>
      <c r="F21" s="69" t="s">
        <v>41</v>
      </c>
      <c r="G21" s="69" t="s">
        <v>57</v>
      </c>
      <c r="H21" s="69" t="s">
        <v>56</v>
      </c>
      <c r="I21" s="69" t="s">
        <v>54</v>
      </c>
      <c r="J21" s="69" t="s">
        <v>55</v>
      </c>
      <c r="K21" s="69" t="s">
        <v>11</v>
      </c>
      <c r="L21" s="69" t="s">
        <v>18</v>
      </c>
      <c r="M21" s="69" t="s">
        <v>27</v>
      </c>
      <c r="N21" s="69" t="s">
        <v>19</v>
      </c>
      <c r="O21" s="69" t="s">
        <v>48</v>
      </c>
      <c r="P21" s="69" t="s">
        <v>38</v>
      </c>
      <c r="Q21" s="69" t="s">
        <v>10</v>
      </c>
      <c r="R21" s="69" t="s">
        <v>41</v>
      </c>
      <c r="S21" s="69" t="s">
        <v>11</v>
      </c>
      <c r="T21" s="70" t="s">
        <v>15</v>
      </c>
      <c r="U21" s="69" t="s">
        <v>11</v>
      </c>
      <c r="V21" s="69" t="s">
        <v>43</v>
      </c>
      <c r="W21" s="69" t="s">
        <v>57</v>
      </c>
      <c r="X21" s="69" t="s">
        <v>51</v>
      </c>
      <c r="Y21" s="69" t="s">
        <v>18</v>
      </c>
      <c r="Z21" s="243">
        <f>SUM(B22:Y22)</f>
        <v>8</v>
      </c>
      <c r="AA21" s="189"/>
      <c r="AB21" s="404"/>
    </row>
    <row r="22" spans="1:51" ht="15.75" thickBot="1" x14ac:dyDescent="0.3">
      <c r="A22" s="256"/>
      <c r="B22" s="2">
        <f>IF(B25="Philadelphia Eagles",1,0)</f>
        <v>1</v>
      </c>
      <c r="C22" s="1">
        <f>IF(C25="Kansas City Chiefs",1,0)</f>
        <v>0</v>
      </c>
      <c r="D22" s="1">
        <f>IF(D25="Chicago Bears",1,0)</f>
        <v>0</v>
      </c>
      <c r="E22" s="1">
        <f>IF(E25="Los Angeles Rams",1,0)</f>
        <v>1</v>
      </c>
      <c r="F22" s="1">
        <f>IF(F25="Baltimore Ravens",1,0)</f>
        <v>0</v>
      </c>
      <c r="G22" s="1">
        <f>IF(G25="Denver Broncos",1,0)</f>
        <v>1</v>
      </c>
      <c r="H22" s="1">
        <f>IF(H25="Indianapolis Colts",1,0)</f>
        <v>1</v>
      </c>
      <c r="I22" s="1">
        <f>IF(I25="Pittsburgh Steelers",1,0)</f>
        <v>1</v>
      </c>
      <c r="J22" s="1">
        <f>IF(J25="Houston Texans",1,0)</f>
        <v>0</v>
      </c>
      <c r="K22" s="1">
        <f>IF(K25="Tampa Bay Buccaneers",1,0)</f>
        <v>1</v>
      </c>
      <c r="L22" s="1">
        <f>IF(L25="San Francisco 49ers",1,0)</f>
        <v>1</v>
      </c>
      <c r="M22" s="1">
        <f>IF(M25="Buffalo Bills",1,0)</f>
        <v>0</v>
      </c>
      <c r="N22" s="1">
        <f>IF(N25="New England Patriots",1,0)</f>
        <v>1</v>
      </c>
      <c r="O22" s="1">
        <f>IF(O25="Arizona Cardinals",1,0)</f>
        <v>0</v>
      </c>
      <c r="P22" s="1">
        <f>IF(P25="Detroit Lions",1,0)</f>
        <v>0</v>
      </c>
      <c r="Q22" s="1">
        <f>IF(Q25="Kansas City Chiefs",1,0)</f>
        <v>0</v>
      </c>
      <c r="R22" s="1">
        <f>IF(R25="Baltimore Ravens",1,0)</f>
        <v>0</v>
      </c>
      <c r="S22" s="1">
        <f>IF(S25="Tampa Bay Buccaneers",1,0)</f>
        <v>0</v>
      </c>
      <c r="T22" s="1">
        <f>IF(T25="Los Angeles Rams",1,0)</f>
        <v>0</v>
      </c>
      <c r="U22" s="1">
        <f>IF(U25="Tampa Bay Buccaneers",1,0)</f>
        <v>0</v>
      </c>
      <c r="V22" s="1">
        <f>IF(V25="Washington Commanders",1,0)</f>
        <v>0</v>
      </c>
      <c r="W22" s="1">
        <f>IF(W25="Denver Broncos",1,0)</f>
        <v>0</v>
      </c>
      <c r="X22" s="1">
        <f>IF(X25="Jacksonville Jaguars",1,0)</f>
        <v>0</v>
      </c>
      <c r="Y22" s="1">
        <f>IF(Y25="San Francisco 49ers",1,0)</f>
        <v>0</v>
      </c>
      <c r="Z22" s="214"/>
      <c r="AA22" s="213"/>
      <c r="AB22" s="404"/>
    </row>
    <row r="23" spans="1:51" x14ac:dyDescent="0.25">
      <c r="A23" s="244" t="s">
        <v>308</v>
      </c>
      <c r="B23" s="68" t="s">
        <v>39</v>
      </c>
      <c r="C23" s="69" t="s">
        <v>10</v>
      </c>
      <c r="D23" s="69" t="s">
        <v>44</v>
      </c>
      <c r="E23" s="69" t="s">
        <v>46</v>
      </c>
      <c r="F23" s="69" t="s">
        <v>41</v>
      </c>
      <c r="G23" s="69" t="s">
        <v>40</v>
      </c>
      <c r="H23" s="69" t="s">
        <v>16</v>
      </c>
      <c r="I23" s="69" t="s">
        <v>54</v>
      </c>
      <c r="J23" s="69" t="s">
        <v>42</v>
      </c>
      <c r="K23" s="69" t="s">
        <v>20</v>
      </c>
      <c r="L23" s="69" t="s">
        <v>18</v>
      </c>
      <c r="M23" s="69" t="s">
        <v>27</v>
      </c>
      <c r="N23" s="69" t="s">
        <v>19</v>
      </c>
      <c r="O23" s="69" t="s">
        <v>51</v>
      </c>
      <c r="P23" s="69" t="s">
        <v>9</v>
      </c>
      <c r="Q23" s="69" t="s">
        <v>10</v>
      </c>
      <c r="R23" s="69" t="s">
        <v>41</v>
      </c>
      <c r="S23" s="69" t="s">
        <v>11</v>
      </c>
      <c r="T23" s="70" t="s">
        <v>42</v>
      </c>
      <c r="U23" s="69" t="s">
        <v>47</v>
      </c>
      <c r="V23" s="69" t="s">
        <v>43</v>
      </c>
      <c r="W23" s="69" t="s">
        <v>12</v>
      </c>
      <c r="X23" s="69" t="s">
        <v>46</v>
      </c>
      <c r="Y23" s="69" t="s">
        <v>18</v>
      </c>
      <c r="Z23" s="243">
        <f>SUM(B24:Y24)</f>
        <v>8</v>
      </c>
      <c r="AA23" s="189"/>
      <c r="AB23" s="404"/>
    </row>
    <row r="24" spans="1:51" ht="15.75" thickBot="1" x14ac:dyDescent="0.3">
      <c r="A24" s="245"/>
      <c r="B24" s="2">
        <f>IF(B25="Philadelphia Eagles",1,0)</f>
        <v>1</v>
      </c>
      <c r="C24" s="1">
        <f>IF(C25="Kansas City Chiefs",1,0)</f>
        <v>0</v>
      </c>
      <c r="D24" s="1">
        <f>IF(D25="Minnesota Vikings",1,0)</f>
        <v>1</v>
      </c>
      <c r="E24" s="1">
        <f>IF(E25="Tennessee Titans",1,0)</f>
        <v>0</v>
      </c>
      <c r="F24" s="1">
        <f>IF(F25="Baltimore Ravens",1,0)</f>
        <v>0</v>
      </c>
      <c r="G24" s="1">
        <f>IF(G25="Cincinnati Bengals",1,0)</f>
        <v>0</v>
      </c>
      <c r="H24" s="1">
        <f>IF(H25="Las Vegas Raiders",1,0)</f>
        <v>0</v>
      </c>
      <c r="I24" s="1">
        <f>IF(I25="Pittsburgh Steelers",1,0)</f>
        <v>1</v>
      </c>
      <c r="J24" s="1">
        <f>IF(J25="Seattle Seahawks",1,0)</f>
        <v>1</v>
      </c>
      <c r="K24" s="1">
        <f>IF(K25="New Orleans Saints",1,0)</f>
        <v>0</v>
      </c>
      <c r="L24" s="1">
        <f>IF(L25="San Francisco 49ers",1,0)</f>
        <v>1</v>
      </c>
      <c r="M24" s="1">
        <f>IF(M25="Buffalo Bills",1,0)</f>
        <v>0</v>
      </c>
      <c r="N24" s="1">
        <f>IF(N25="New England Patriots",1,0)</f>
        <v>1</v>
      </c>
      <c r="O24" s="1">
        <f>IF(O25="Jacksonville Jaguars",1,0)</f>
        <v>1</v>
      </c>
      <c r="P24" s="1">
        <f>IF(P25="Green Bay Packers",1,0)</f>
        <v>1</v>
      </c>
      <c r="Q24" s="1">
        <f>IF(Q25="Kansas City Chiefs",1,0)</f>
        <v>0</v>
      </c>
      <c r="R24" s="1">
        <f>IF(R25="Baltimore Ravens",1,0)</f>
        <v>0</v>
      </c>
      <c r="S24" s="1">
        <f>IF(S25="Tampa Bay Buccaneers",1,0)</f>
        <v>0</v>
      </c>
      <c r="T24" s="1">
        <f>IF(T25="Seattle Seahawks",1,0)</f>
        <v>0</v>
      </c>
      <c r="U24" s="1">
        <f>IF(U25="Carolina Panthers",1,0)</f>
        <v>0</v>
      </c>
      <c r="V24" s="1">
        <f>IF(V25="Washington Commanders",1,0)</f>
        <v>0</v>
      </c>
      <c r="W24" s="1">
        <f>IF(W25="Los Angeles Chargers",1,0)</f>
        <v>0</v>
      </c>
      <c r="X24" s="1">
        <f>IF(X25="Tennessee Titans",1,0)</f>
        <v>0</v>
      </c>
      <c r="Y24" s="3">
        <f>IF(Y25="San Francisco 49ers",1,0)</f>
        <v>0</v>
      </c>
      <c r="Z24" s="214"/>
      <c r="AA24" s="213"/>
      <c r="AB24" s="404"/>
    </row>
    <row r="25" spans="1:51" ht="15.75" thickBot="1" x14ac:dyDescent="0.3">
      <c r="A25" s="73" t="s">
        <v>22</v>
      </c>
      <c r="B25" s="20" t="s">
        <v>89</v>
      </c>
      <c r="C25" s="20" t="s">
        <v>79</v>
      </c>
      <c r="D25" s="20" t="s">
        <v>63</v>
      </c>
      <c r="E25" s="20" t="s">
        <v>85</v>
      </c>
      <c r="F25" s="20" t="s">
        <v>78</v>
      </c>
      <c r="G25" s="20" t="s">
        <v>77</v>
      </c>
      <c r="H25" s="20" t="s">
        <v>66</v>
      </c>
      <c r="I25" s="20" t="s">
        <v>73</v>
      </c>
      <c r="J25" s="20" t="s">
        <v>81</v>
      </c>
      <c r="K25" s="20" t="s">
        <v>91</v>
      </c>
      <c r="L25" s="20" t="s">
        <v>90</v>
      </c>
      <c r="M25" s="20" t="s">
        <v>86</v>
      </c>
      <c r="N25" s="20" t="s">
        <v>76</v>
      </c>
      <c r="O25" s="20" t="s">
        <v>83</v>
      </c>
      <c r="P25" s="20" t="s">
        <v>80</v>
      </c>
      <c r="Q25" s="12" t="s">
        <v>75</v>
      </c>
      <c r="R25" s="20" t="s">
        <v>73</v>
      </c>
      <c r="S25" s="12"/>
      <c r="T25" s="20"/>
      <c r="U25" s="12"/>
      <c r="V25" s="20"/>
      <c r="W25" s="12"/>
      <c r="X25" s="20"/>
      <c r="Y25" s="12"/>
      <c r="Z25" s="47"/>
      <c r="AA25" s="46"/>
      <c r="AB25" s="405"/>
    </row>
    <row r="26" spans="1:51" ht="15.75" thickBo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51" ht="15.75" customHeight="1" thickTop="1" thickBot="1" x14ac:dyDescent="0.3">
      <c r="A27" s="246" t="s">
        <v>25</v>
      </c>
      <c r="B27" s="249" t="s">
        <v>28</v>
      </c>
      <c r="C27" s="250"/>
      <c r="D27" s="250"/>
      <c r="E27" s="250"/>
      <c r="F27" s="250"/>
      <c r="G27" s="250"/>
      <c r="H27" s="250"/>
      <c r="I27" s="250"/>
      <c r="J27" s="251"/>
      <c r="K27" s="30"/>
      <c r="L27" s="249" t="s">
        <v>29</v>
      </c>
      <c r="M27" s="250"/>
      <c r="N27" s="250"/>
      <c r="O27" s="250"/>
      <c r="P27" s="250"/>
      <c r="Q27" s="250"/>
      <c r="R27" s="251"/>
      <c r="S27" s="11"/>
      <c r="T27" s="26" t="s">
        <v>30</v>
      </c>
      <c r="U27" s="27"/>
      <c r="V27" s="27"/>
      <c r="W27" s="28"/>
      <c r="X27" s="223" t="s">
        <v>33</v>
      </c>
      <c r="Y27" s="252"/>
      <c r="Z27" s="224"/>
      <c r="AA27" s="11"/>
      <c r="AB27" s="11"/>
      <c r="AC27" s="223" t="s">
        <v>35</v>
      </c>
      <c r="AD27" s="224"/>
      <c r="AE27" s="223" t="s">
        <v>34</v>
      </c>
      <c r="AF27" s="229"/>
      <c r="AG27" s="232" t="s">
        <v>31</v>
      </c>
      <c r="AH27" s="233"/>
      <c r="AI27" s="234"/>
      <c r="AJ27" s="241" t="s">
        <v>36</v>
      </c>
      <c r="AK27" s="242"/>
      <c r="AL27" s="242"/>
      <c r="AM27" s="242"/>
      <c r="AN27" s="242"/>
      <c r="AO27" s="242"/>
    </row>
    <row r="28" spans="1:51" ht="15" customHeight="1" x14ac:dyDescent="0.25">
      <c r="A28" s="247"/>
      <c r="B28" s="257" t="s">
        <v>3</v>
      </c>
      <c r="C28" s="258"/>
      <c r="D28" s="258"/>
      <c r="E28" s="258"/>
      <c r="F28" s="35"/>
      <c r="G28" s="259" t="s">
        <v>4</v>
      </c>
      <c r="H28" s="258"/>
      <c r="I28" s="258"/>
      <c r="J28" s="260"/>
      <c r="K28" s="32"/>
      <c r="L28" s="261" t="s">
        <v>3</v>
      </c>
      <c r="M28" s="262"/>
      <c r="N28" s="262"/>
      <c r="O28" s="35"/>
      <c r="P28" s="265" t="s">
        <v>4</v>
      </c>
      <c r="Q28" s="262"/>
      <c r="R28" s="266"/>
      <c r="S28" s="30"/>
      <c r="T28" s="261" t="s">
        <v>3</v>
      </c>
      <c r="U28" s="269"/>
      <c r="V28" s="265" t="s">
        <v>4</v>
      </c>
      <c r="W28" s="266"/>
      <c r="X28" s="225"/>
      <c r="Y28" s="253"/>
      <c r="Z28" s="226"/>
      <c r="AA28" s="11"/>
      <c r="AB28" s="11"/>
      <c r="AC28" s="225"/>
      <c r="AD28" s="226"/>
      <c r="AE28" s="225"/>
      <c r="AF28" s="230"/>
      <c r="AG28" s="235"/>
      <c r="AH28" s="236"/>
      <c r="AI28" s="237"/>
      <c r="AJ28" s="241"/>
      <c r="AK28" s="242"/>
      <c r="AL28" s="242"/>
      <c r="AM28" s="242"/>
      <c r="AN28" s="242"/>
      <c r="AO28" s="242"/>
      <c r="AP28" s="222" t="s">
        <v>37</v>
      </c>
      <c r="AQ28" s="222"/>
      <c r="AR28" s="222"/>
      <c r="AS28" s="222"/>
      <c r="AT28" s="222"/>
      <c r="AU28" s="222"/>
      <c r="AV28" s="222"/>
      <c r="AW28" s="222"/>
      <c r="AX28" s="222"/>
    </row>
    <row r="29" spans="1:51" ht="15.75" customHeight="1" thickBot="1" x14ac:dyDescent="0.3">
      <c r="A29" s="248"/>
      <c r="B29" s="18" t="s">
        <v>6</v>
      </c>
      <c r="C29" s="33" t="s">
        <v>5</v>
      </c>
      <c r="D29" s="19" t="s">
        <v>7</v>
      </c>
      <c r="E29" s="19" t="s">
        <v>8</v>
      </c>
      <c r="F29" s="36"/>
      <c r="G29" s="19" t="s">
        <v>6</v>
      </c>
      <c r="H29" s="19" t="s">
        <v>5</v>
      </c>
      <c r="I29" s="19" t="s">
        <v>7</v>
      </c>
      <c r="J29" s="19" t="s">
        <v>8</v>
      </c>
      <c r="K29" s="32"/>
      <c r="L29" s="263"/>
      <c r="M29" s="264"/>
      <c r="N29" s="264"/>
      <c r="O29" s="34"/>
      <c r="P29" s="267"/>
      <c r="Q29" s="264"/>
      <c r="R29" s="268"/>
      <c r="S29" s="32"/>
      <c r="T29" s="263"/>
      <c r="U29" s="270"/>
      <c r="V29" s="267"/>
      <c r="W29" s="268"/>
      <c r="X29" s="227"/>
      <c r="Y29" s="254"/>
      <c r="Z29" s="228"/>
      <c r="AA29" s="16"/>
      <c r="AB29" s="406"/>
      <c r="AC29" s="227"/>
      <c r="AD29" s="228"/>
      <c r="AE29" s="227"/>
      <c r="AF29" s="231"/>
      <c r="AG29" s="238"/>
      <c r="AH29" s="239"/>
      <c r="AI29" s="240"/>
      <c r="AJ29" s="241"/>
      <c r="AK29" s="242"/>
      <c r="AL29" s="242"/>
      <c r="AM29" s="242"/>
      <c r="AN29" s="242"/>
      <c r="AO29" s="242"/>
    </row>
    <row r="30" spans="1:51" x14ac:dyDescent="0.25">
      <c r="A30" s="288" t="s">
        <v>24</v>
      </c>
      <c r="B30" s="61" t="s">
        <v>27</v>
      </c>
      <c r="C30" s="62" t="s">
        <v>54</v>
      </c>
      <c r="D30" s="62" t="s">
        <v>56</v>
      </c>
      <c r="E30" s="62" t="s">
        <v>10</v>
      </c>
      <c r="F30" s="52"/>
      <c r="G30" s="62" t="s">
        <v>39</v>
      </c>
      <c r="H30" s="62" t="s">
        <v>44</v>
      </c>
      <c r="I30" s="62" t="s">
        <v>11</v>
      </c>
      <c r="J30" s="63" t="s">
        <v>15</v>
      </c>
      <c r="K30" s="60"/>
      <c r="L30" s="61" t="s">
        <v>45</v>
      </c>
      <c r="M30" s="62" t="s">
        <v>55</v>
      </c>
      <c r="N30" s="62" t="s">
        <v>57</v>
      </c>
      <c r="O30" s="52"/>
      <c r="P30" s="62" t="s">
        <v>38</v>
      </c>
      <c r="Q30" s="62" t="s">
        <v>50</v>
      </c>
      <c r="R30" s="63" t="s">
        <v>42</v>
      </c>
      <c r="S30" s="32"/>
      <c r="T30" s="289" t="s">
        <v>27</v>
      </c>
      <c r="U30" s="290"/>
      <c r="V30" s="291" t="s">
        <v>39</v>
      </c>
      <c r="W30" s="292"/>
      <c r="X30" s="289" t="s">
        <v>27</v>
      </c>
      <c r="Y30" s="293"/>
      <c r="Z30" s="292"/>
      <c r="AA30" s="54"/>
      <c r="AB30" s="407"/>
      <c r="AC30" s="188"/>
      <c r="AD30" s="211"/>
      <c r="AE30" s="188">
        <f>Z5</f>
        <v>9</v>
      </c>
      <c r="AF30" s="189"/>
      <c r="AG30" s="284">
        <f>SUM(AC30,AE30)</f>
        <v>9</v>
      </c>
      <c r="AH30" s="197"/>
      <c r="AI30" s="285"/>
      <c r="AK30" s="197" t="e">
        <f>SUM(#REF!,AG30)</f>
        <v>#REF!</v>
      </c>
      <c r="AL30" s="197"/>
      <c r="AM30" s="197"/>
      <c r="AN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</row>
    <row r="31" spans="1:51" ht="15.75" thickBot="1" x14ac:dyDescent="0.3">
      <c r="A31" s="220"/>
      <c r="B31" s="50"/>
      <c r="C31" s="51"/>
      <c r="D31" s="51"/>
      <c r="E31" s="51"/>
      <c r="F31" s="52"/>
      <c r="G31" s="51"/>
      <c r="H31" s="51"/>
      <c r="I31" s="51"/>
      <c r="J31" s="53"/>
      <c r="K31" s="60"/>
      <c r="L31" s="50"/>
      <c r="M31" s="51"/>
      <c r="N31" s="51"/>
      <c r="O31" s="52"/>
      <c r="P31" s="51"/>
      <c r="Q31" s="51" t="s">
        <v>676</v>
      </c>
      <c r="R31" s="53"/>
      <c r="S31" s="60"/>
      <c r="T31" s="198"/>
      <c r="U31" s="199"/>
      <c r="V31" s="296"/>
      <c r="W31" s="203"/>
      <c r="X31" s="198"/>
      <c r="Y31" s="202"/>
      <c r="Z31" s="203"/>
      <c r="AA31" s="54"/>
      <c r="AB31" s="407"/>
      <c r="AC31" s="212"/>
      <c r="AD31" s="221"/>
      <c r="AE31" s="212"/>
      <c r="AF31" s="213"/>
      <c r="AG31" s="214"/>
      <c r="AH31" s="215"/>
      <c r="AI31" s="213"/>
      <c r="AK31" s="197"/>
      <c r="AL31" s="197"/>
      <c r="AM31" s="197"/>
      <c r="AN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</row>
    <row r="32" spans="1:51" x14ac:dyDescent="0.25">
      <c r="A32" s="286" t="s">
        <v>294</v>
      </c>
      <c r="B32" s="50" t="s">
        <v>27</v>
      </c>
      <c r="C32" s="51" t="s">
        <v>54</v>
      </c>
      <c r="D32" s="51" t="s">
        <v>55</v>
      </c>
      <c r="E32" s="51" t="s">
        <v>10</v>
      </c>
      <c r="F32" s="52"/>
      <c r="G32" s="51" t="s">
        <v>39</v>
      </c>
      <c r="H32" s="51" t="s">
        <v>53</v>
      </c>
      <c r="I32" s="51" t="s">
        <v>11</v>
      </c>
      <c r="J32" s="53" t="s">
        <v>15</v>
      </c>
      <c r="K32" s="60"/>
      <c r="L32" s="50" t="s">
        <v>19</v>
      </c>
      <c r="M32" s="51" t="s">
        <v>46</v>
      </c>
      <c r="N32" s="51" t="s">
        <v>57</v>
      </c>
      <c r="O32" s="52"/>
      <c r="P32" s="51" t="s">
        <v>17</v>
      </c>
      <c r="Q32" s="51" t="s">
        <v>44</v>
      </c>
      <c r="R32" s="53" t="s">
        <v>48</v>
      </c>
      <c r="S32" s="60"/>
      <c r="T32" s="280" t="s">
        <v>46</v>
      </c>
      <c r="U32" s="281"/>
      <c r="V32" s="242" t="s">
        <v>53</v>
      </c>
      <c r="W32" s="242"/>
      <c r="X32" s="280" t="s">
        <v>46</v>
      </c>
      <c r="Y32" s="242"/>
      <c r="Z32" s="287"/>
      <c r="AA32" s="55"/>
      <c r="AB32" s="408"/>
      <c r="AC32" s="188">
        <f>SUM(B33:Z33)</f>
        <v>0</v>
      </c>
      <c r="AD32" s="211"/>
      <c r="AE32" s="188">
        <f>Z7</f>
        <v>8</v>
      </c>
      <c r="AF32" s="189"/>
      <c r="AG32" s="284">
        <f t="shared" ref="AG32" si="0">SUM(AC32,AE32)</f>
        <v>8</v>
      </c>
      <c r="AH32" s="197"/>
      <c r="AI32" s="285"/>
      <c r="AK32" s="197" t="e">
        <f>SUM(#REF!,AG32)</f>
        <v>#REF!</v>
      </c>
      <c r="AL32" s="197"/>
      <c r="AM32" s="197"/>
      <c r="AN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</row>
    <row r="33" spans="1:51" ht="15.75" thickBot="1" x14ac:dyDescent="0.3">
      <c r="A33" s="220"/>
      <c r="B33" s="50"/>
      <c r="C33" s="51"/>
      <c r="D33" s="51"/>
      <c r="E33" s="51"/>
      <c r="F33" s="52"/>
      <c r="G33" s="51"/>
      <c r="H33" s="51"/>
      <c r="I33" s="51"/>
      <c r="J33" s="53"/>
      <c r="K33" s="60"/>
      <c r="L33" s="50"/>
      <c r="M33" s="51" t="s">
        <v>676</v>
      </c>
      <c r="N33" s="51"/>
      <c r="O33" s="52"/>
      <c r="P33" s="51" t="s">
        <v>676</v>
      </c>
      <c r="Q33" s="51"/>
      <c r="R33" s="53" t="s">
        <v>676</v>
      </c>
      <c r="S33" s="60"/>
      <c r="T33" s="198" t="s">
        <v>676</v>
      </c>
      <c r="U33" s="199"/>
      <c r="V33" s="200"/>
      <c r="W33" s="201"/>
      <c r="X33" s="198" t="s">
        <v>676</v>
      </c>
      <c r="Y33" s="202"/>
      <c r="Z33" s="203"/>
      <c r="AA33" s="55"/>
      <c r="AB33" s="408"/>
      <c r="AC33" s="212"/>
      <c r="AD33" s="221"/>
      <c r="AE33" s="184"/>
      <c r="AF33" s="285"/>
      <c r="AG33" s="214"/>
      <c r="AH33" s="215"/>
      <c r="AI33" s="213"/>
      <c r="AK33" s="197"/>
      <c r="AL33" s="197"/>
      <c r="AM33" s="197"/>
      <c r="AN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</row>
    <row r="34" spans="1:51" x14ac:dyDescent="0.25">
      <c r="A34" s="247" t="s">
        <v>563</v>
      </c>
      <c r="B34" s="50" t="s">
        <v>27</v>
      </c>
      <c r="C34" s="51" t="s">
        <v>41</v>
      </c>
      <c r="D34" s="51" t="s">
        <v>46</v>
      </c>
      <c r="E34" s="51" t="s">
        <v>10</v>
      </c>
      <c r="F34" s="52"/>
      <c r="G34" s="51" t="s">
        <v>17</v>
      </c>
      <c r="H34" s="51" t="s">
        <v>53</v>
      </c>
      <c r="I34" s="51" t="s">
        <v>11</v>
      </c>
      <c r="J34" s="53" t="s">
        <v>48</v>
      </c>
      <c r="K34" s="60"/>
      <c r="L34" s="50" t="s">
        <v>19</v>
      </c>
      <c r="M34" s="51" t="s">
        <v>54</v>
      </c>
      <c r="N34" s="51" t="s">
        <v>57</v>
      </c>
      <c r="O34" s="52"/>
      <c r="P34" s="51" t="s">
        <v>39</v>
      </c>
      <c r="Q34" s="51" t="s">
        <v>44</v>
      </c>
      <c r="R34" s="53" t="s">
        <v>15</v>
      </c>
      <c r="S34" s="60"/>
      <c r="T34" s="280" t="s">
        <v>10</v>
      </c>
      <c r="U34" s="281"/>
      <c r="V34" s="242" t="s">
        <v>15</v>
      </c>
      <c r="W34" s="242"/>
      <c r="X34" s="280" t="s">
        <v>15</v>
      </c>
      <c r="Y34" s="242"/>
      <c r="Z34" s="287"/>
      <c r="AA34" s="55"/>
      <c r="AB34" s="408"/>
      <c r="AC34" s="188">
        <f>SUM(B35:Z35)</f>
        <v>0</v>
      </c>
      <c r="AD34" s="211"/>
      <c r="AE34" s="188">
        <f>Z9</f>
        <v>8</v>
      </c>
      <c r="AF34" s="189"/>
      <c r="AG34" s="191">
        <f t="shared" ref="AG34" si="1">SUM(AC34,AE34)</f>
        <v>8</v>
      </c>
      <c r="AH34" s="192"/>
      <c r="AI34" s="193"/>
      <c r="AK34" s="197" t="e">
        <f>SUM(#REF!,AG34)</f>
        <v>#REF!</v>
      </c>
      <c r="AL34" s="197"/>
      <c r="AM34" s="197"/>
      <c r="AN34" s="197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</row>
    <row r="35" spans="1:51" ht="15.75" thickBot="1" x14ac:dyDescent="0.3">
      <c r="A35" s="205"/>
      <c r="B35" s="50"/>
      <c r="C35" s="51"/>
      <c r="D35" s="51" t="s">
        <v>676</v>
      </c>
      <c r="E35" s="51"/>
      <c r="F35" s="52"/>
      <c r="G35" s="51" t="s">
        <v>676</v>
      </c>
      <c r="H35" s="51"/>
      <c r="I35" s="51"/>
      <c r="J35" s="53" t="s">
        <v>676</v>
      </c>
      <c r="K35" s="60"/>
      <c r="L35" s="50"/>
      <c r="M35" s="51"/>
      <c r="N35" s="51"/>
      <c r="O35" s="52"/>
      <c r="P35" s="51"/>
      <c r="Q35" s="51"/>
      <c r="R35" s="53"/>
      <c r="S35" s="60"/>
      <c r="T35" s="198"/>
      <c r="U35" s="199"/>
      <c r="V35" s="200"/>
      <c r="W35" s="201"/>
      <c r="X35" s="198"/>
      <c r="Y35" s="202"/>
      <c r="Z35" s="203"/>
      <c r="AA35" s="55"/>
      <c r="AB35" s="408"/>
      <c r="AC35" s="212"/>
      <c r="AD35" s="221"/>
      <c r="AE35" s="186"/>
      <c r="AF35" s="190"/>
      <c r="AG35" s="214"/>
      <c r="AH35" s="215"/>
      <c r="AI35" s="213"/>
      <c r="AK35" s="197"/>
      <c r="AL35" s="197"/>
      <c r="AM35" s="197"/>
      <c r="AN35" s="197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</row>
    <row r="36" spans="1:51" x14ac:dyDescent="0.25">
      <c r="A36" s="286" t="s">
        <v>310</v>
      </c>
      <c r="B36" s="50" t="s">
        <v>27</v>
      </c>
      <c r="C36" s="51" t="s">
        <v>41</v>
      </c>
      <c r="D36" s="51" t="s">
        <v>55</v>
      </c>
      <c r="E36" s="51" t="s">
        <v>57</v>
      </c>
      <c r="F36" s="52"/>
      <c r="G36" s="51" t="s">
        <v>39</v>
      </c>
      <c r="H36" s="51" t="s">
        <v>38</v>
      </c>
      <c r="I36" s="51" t="s">
        <v>11</v>
      </c>
      <c r="J36" s="53" t="s">
        <v>15</v>
      </c>
      <c r="K36" s="60"/>
      <c r="L36" s="50" t="s">
        <v>10</v>
      </c>
      <c r="M36" s="51" t="s">
        <v>40</v>
      </c>
      <c r="N36" s="51" t="s">
        <v>12</v>
      </c>
      <c r="O36" s="52"/>
      <c r="P36" s="51" t="s">
        <v>42</v>
      </c>
      <c r="Q36" s="51" t="s">
        <v>9</v>
      </c>
      <c r="R36" s="53" t="s">
        <v>43</v>
      </c>
      <c r="S36" s="60"/>
      <c r="T36" s="280" t="s">
        <v>41</v>
      </c>
      <c r="U36" s="281"/>
      <c r="V36" s="208" t="s">
        <v>39</v>
      </c>
      <c r="W36" s="209"/>
      <c r="X36" s="242" t="s">
        <v>41</v>
      </c>
      <c r="Y36" s="242"/>
      <c r="Z36" s="242"/>
      <c r="AA36" s="55"/>
      <c r="AB36" s="408"/>
      <c r="AC36" s="188">
        <f>SUM(B37:Z37)</f>
        <v>0</v>
      </c>
      <c r="AD36" s="211"/>
      <c r="AE36" s="188">
        <f>Z11</f>
        <v>9</v>
      </c>
      <c r="AF36" s="189"/>
      <c r="AG36" s="284">
        <f t="shared" ref="AG36" si="2">SUM(AC36,AE36)</f>
        <v>9</v>
      </c>
      <c r="AH36" s="197"/>
      <c r="AI36" s="285"/>
      <c r="AK36" s="197" t="e">
        <f>SUM(#REF!,AG36)</f>
        <v>#REF!</v>
      </c>
      <c r="AL36" s="197"/>
      <c r="AM36" s="197"/>
      <c r="AN36" s="197"/>
    </row>
    <row r="37" spans="1:51" ht="15.75" thickBot="1" x14ac:dyDescent="0.3">
      <c r="A37" s="220"/>
      <c r="B37" s="50"/>
      <c r="C37" s="51"/>
      <c r="D37" s="51"/>
      <c r="E37" s="51"/>
      <c r="F37" s="52"/>
      <c r="G37" s="51"/>
      <c r="H37" s="51"/>
      <c r="I37" s="51"/>
      <c r="J37" s="53"/>
      <c r="K37" s="60"/>
      <c r="L37" s="50"/>
      <c r="M37" s="51"/>
      <c r="N37" s="51"/>
      <c r="O37" s="52"/>
      <c r="P37" s="51"/>
      <c r="Q37" s="51"/>
      <c r="R37" s="53" t="s">
        <v>676</v>
      </c>
      <c r="S37" s="60"/>
      <c r="T37" s="198"/>
      <c r="U37" s="199"/>
      <c r="V37" s="200"/>
      <c r="W37" s="201"/>
      <c r="X37" s="217"/>
      <c r="Y37" s="218"/>
      <c r="Z37" s="201"/>
      <c r="AA37" s="55"/>
      <c r="AB37" s="408"/>
      <c r="AC37" s="212"/>
      <c r="AD37" s="221"/>
      <c r="AE37" s="212"/>
      <c r="AF37" s="213"/>
      <c r="AG37" s="214"/>
      <c r="AH37" s="215"/>
      <c r="AI37" s="213"/>
      <c r="AK37" s="197"/>
      <c r="AL37" s="197"/>
      <c r="AM37" s="197"/>
      <c r="AN37" s="197"/>
    </row>
    <row r="38" spans="1:51" x14ac:dyDescent="0.25">
      <c r="A38" s="286" t="s">
        <v>564</v>
      </c>
      <c r="B38" s="50" t="s">
        <v>27</v>
      </c>
      <c r="C38" s="51" t="s">
        <v>41</v>
      </c>
      <c r="D38" s="51" t="s">
        <v>55</v>
      </c>
      <c r="E38" s="51" t="s">
        <v>10</v>
      </c>
      <c r="F38" s="52"/>
      <c r="G38" s="51" t="s">
        <v>43</v>
      </c>
      <c r="H38" s="51" t="s">
        <v>9</v>
      </c>
      <c r="I38" s="51" t="s">
        <v>11</v>
      </c>
      <c r="J38" s="53" t="s">
        <v>15</v>
      </c>
      <c r="K38" s="60"/>
      <c r="L38" s="50" t="s">
        <v>12</v>
      </c>
      <c r="M38" s="51" t="s">
        <v>57</v>
      </c>
      <c r="N38" s="51" t="s">
        <v>54</v>
      </c>
      <c r="O38" s="52"/>
      <c r="P38" s="51" t="s">
        <v>39</v>
      </c>
      <c r="Q38" s="51" t="s">
        <v>38</v>
      </c>
      <c r="R38" s="53" t="s">
        <v>48</v>
      </c>
      <c r="S38" s="60"/>
      <c r="T38" s="280" t="s">
        <v>12</v>
      </c>
      <c r="U38" s="281"/>
      <c r="V38" s="242" t="s">
        <v>9</v>
      </c>
      <c r="W38" s="242"/>
      <c r="X38" s="280" t="s">
        <v>12</v>
      </c>
      <c r="Y38" s="242"/>
      <c r="Z38" s="287"/>
      <c r="AA38" s="55"/>
      <c r="AB38" s="408"/>
      <c r="AC38" s="188">
        <f>SUM(B39:Z39)</f>
        <v>0</v>
      </c>
      <c r="AD38" s="211"/>
      <c r="AE38" s="188">
        <f>Z13</f>
        <v>6</v>
      </c>
      <c r="AF38" s="189"/>
      <c r="AG38" s="284">
        <f t="shared" ref="AG38" si="3">SUM(AC38,AE38)</f>
        <v>6</v>
      </c>
      <c r="AH38" s="197"/>
      <c r="AI38" s="285"/>
      <c r="AK38" s="197" t="e">
        <f>SUM(#REF!,AG38)</f>
        <v>#REF!</v>
      </c>
      <c r="AL38" s="197"/>
      <c r="AM38" s="197"/>
      <c r="AN38" s="197"/>
      <c r="AP38" s="216"/>
      <c r="AQ38" s="216"/>
      <c r="AR38" s="216"/>
      <c r="AS38" s="216"/>
      <c r="AT38" s="216"/>
      <c r="AU38" s="216"/>
      <c r="AV38" s="216"/>
      <c r="AW38" s="216"/>
      <c r="AX38" s="216"/>
    </row>
    <row r="39" spans="1:51" ht="15.75" thickBot="1" x14ac:dyDescent="0.3">
      <c r="A39" s="220"/>
      <c r="B39" s="50"/>
      <c r="C39" s="51"/>
      <c r="D39" s="51"/>
      <c r="E39" s="51"/>
      <c r="F39" s="52"/>
      <c r="G39" s="51" t="s">
        <v>676</v>
      </c>
      <c r="H39" s="51"/>
      <c r="I39" s="51"/>
      <c r="J39" s="53"/>
      <c r="K39" s="60"/>
      <c r="L39" s="50"/>
      <c r="M39" s="51"/>
      <c r="N39" s="51"/>
      <c r="O39" s="52"/>
      <c r="P39" s="51"/>
      <c r="Q39" s="51"/>
      <c r="R39" s="53" t="s">
        <v>676</v>
      </c>
      <c r="S39" s="60"/>
      <c r="T39" s="198"/>
      <c r="U39" s="199"/>
      <c r="V39" s="200"/>
      <c r="W39" s="201"/>
      <c r="X39" s="198"/>
      <c r="Y39" s="202"/>
      <c r="Z39" s="203"/>
      <c r="AA39" s="55"/>
      <c r="AB39" s="408"/>
      <c r="AC39" s="212"/>
      <c r="AD39" s="221"/>
      <c r="AE39" s="212"/>
      <c r="AF39" s="213"/>
      <c r="AG39" s="214"/>
      <c r="AH39" s="215"/>
      <c r="AI39" s="213"/>
      <c r="AK39" s="197"/>
      <c r="AL39" s="197"/>
      <c r="AM39" s="197"/>
      <c r="AN39" s="197"/>
      <c r="AP39" s="216"/>
      <c r="AQ39" s="216"/>
      <c r="AR39" s="216"/>
      <c r="AS39" s="216"/>
      <c r="AT39" s="216"/>
      <c r="AU39" s="216"/>
      <c r="AV39" s="216"/>
      <c r="AW39" s="216"/>
      <c r="AX39" s="216"/>
    </row>
    <row r="40" spans="1:51" x14ac:dyDescent="0.25">
      <c r="A40" s="286" t="s">
        <v>312</v>
      </c>
      <c r="B40" s="50" t="s">
        <v>27</v>
      </c>
      <c r="C40" s="51" t="s">
        <v>41</v>
      </c>
      <c r="D40" s="51" t="s">
        <v>55</v>
      </c>
      <c r="E40" s="51" t="s">
        <v>12</v>
      </c>
      <c r="F40" s="52"/>
      <c r="G40" s="51" t="s">
        <v>39</v>
      </c>
      <c r="H40" s="51" t="s">
        <v>38</v>
      </c>
      <c r="I40" s="51" t="s">
        <v>50</v>
      </c>
      <c r="J40" s="53" t="s">
        <v>42</v>
      </c>
      <c r="K40" s="60"/>
      <c r="L40" s="50" t="s">
        <v>54</v>
      </c>
      <c r="M40" s="51" t="s">
        <v>10</v>
      </c>
      <c r="N40" s="51" t="s">
        <v>57</v>
      </c>
      <c r="O40" s="52"/>
      <c r="P40" s="51" t="s">
        <v>44</v>
      </c>
      <c r="Q40" s="51" t="s">
        <v>15</v>
      </c>
      <c r="R40" s="53" t="s">
        <v>49</v>
      </c>
      <c r="S40" s="60"/>
      <c r="T40" s="280" t="s">
        <v>27</v>
      </c>
      <c r="U40" s="281"/>
      <c r="V40" s="242" t="s">
        <v>42</v>
      </c>
      <c r="W40" s="242"/>
      <c r="X40" s="280" t="s">
        <v>27</v>
      </c>
      <c r="Y40" s="242"/>
      <c r="Z40" s="287"/>
      <c r="AA40" s="55"/>
      <c r="AB40" s="408"/>
      <c r="AC40" s="188">
        <f>SUM(B41:Z41)</f>
        <v>0</v>
      </c>
      <c r="AD40" s="211"/>
      <c r="AE40" s="188">
        <f>Z15</f>
        <v>11</v>
      </c>
      <c r="AF40" s="189"/>
      <c r="AG40" s="284">
        <f t="shared" ref="AG40" si="4">SUM(AC40,AE40)</f>
        <v>11</v>
      </c>
      <c r="AH40" s="197"/>
      <c r="AI40" s="285"/>
      <c r="AK40" s="197" t="e">
        <f>SUM(#REF!,AG40)</f>
        <v>#REF!</v>
      </c>
      <c r="AL40" s="197"/>
      <c r="AM40" s="197"/>
      <c r="AN40" s="197"/>
      <c r="AP40" s="216"/>
      <c r="AQ40" s="216"/>
      <c r="AR40" s="216"/>
      <c r="AS40" s="216"/>
      <c r="AT40" s="216"/>
      <c r="AU40" s="216"/>
      <c r="AV40" s="216"/>
      <c r="AW40" s="216"/>
      <c r="AX40" s="216"/>
    </row>
    <row r="41" spans="1:51" ht="15.75" thickBot="1" x14ac:dyDescent="0.3">
      <c r="A41" s="220"/>
      <c r="B41" s="50"/>
      <c r="C41" s="51"/>
      <c r="D41" s="51"/>
      <c r="E41" s="51"/>
      <c r="F41" s="52"/>
      <c r="G41" s="51"/>
      <c r="H41" s="51"/>
      <c r="I41" s="51" t="s">
        <v>676</v>
      </c>
      <c r="J41" s="53"/>
      <c r="K41" s="60"/>
      <c r="L41" s="50"/>
      <c r="M41" s="51"/>
      <c r="N41" s="51"/>
      <c r="O41" s="52"/>
      <c r="P41" s="51"/>
      <c r="Q41" s="51"/>
      <c r="R41" s="53"/>
      <c r="S41" s="60"/>
      <c r="T41" s="198"/>
      <c r="U41" s="199"/>
      <c r="V41" s="200"/>
      <c r="W41" s="201"/>
      <c r="X41" s="198"/>
      <c r="Y41" s="202"/>
      <c r="Z41" s="203"/>
      <c r="AA41" s="55"/>
      <c r="AB41" s="408"/>
      <c r="AC41" s="212"/>
      <c r="AD41" s="221"/>
      <c r="AE41" s="212"/>
      <c r="AF41" s="213"/>
      <c r="AG41" s="214"/>
      <c r="AH41" s="215"/>
      <c r="AI41" s="213"/>
      <c r="AK41" s="197"/>
      <c r="AL41" s="197"/>
      <c r="AM41" s="197"/>
      <c r="AN41" s="197"/>
      <c r="AP41" s="216"/>
      <c r="AQ41" s="216"/>
      <c r="AR41" s="216"/>
      <c r="AS41" s="216"/>
      <c r="AT41" s="216"/>
      <c r="AU41" s="216"/>
      <c r="AV41" s="216"/>
      <c r="AW41" s="216"/>
      <c r="AX41" s="216"/>
    </row>
    <row r="42" spans="1:51" x14ac:dyDescent="0.25">
      <c r="A42" s="219" t="s">
        <v>311</v>
      </c>
      <c r="B42" s="50" t="s">
        <v>19</v>
      </c>
      <c r="C42" s="51" t="s">
        <v>54</v>
      </c>
      <c r="D42" s="51" t="s">
        <v>55</v>
      </c>
      <c r="E42" s="51" t="s">
        <v>10</v>
      </c>
      <c r="F42" s="52"/>
      <c r="G42" s="51" t="s">
        <v>49</v>
      </c>
      <c r="H42" s="51" t="s">
        <v>44</v>
      </c>
      <c r="I42" s="51" t="s">
        <v>11</v>
      </c>
      <c r="J42" s="53" t="s">
        <v>15</v>
      </c>
      <c r="K42" s="60"/>
      <c r="L42" s="50" t="s">
        <v>41</v>
      </c>
      <c r="M42" s="51" t="s">
        <v>27</v>
      </c>
      <c r="N42" s="51" t="s">
        <v>12</v>
      </c>
      <c r="O42" s="52"/>
      <c r="P42" s="51" t="s">
        <v>39</v>
      </c>
      <c r="Q42" s="51" t="s">
        <v>38</v>
      </c>
      <c r="R42" s="53" t="s">
        <v>18</v>
      </c>
      <c r="S42" s="60"/>
      <c r="T42" s="206" t="s">
        <v>27</v>
      </c>
      <c r="U42" s="207"/>
      <c r="V42" s="208" t="s">
        <v>39</v>
      </c>
      <c r="W42" s="209"/>
      <c r="X42" s="242" t="s">
        <v>27</v>
      </c>
      <c r="Y42" s="242"/>
      <c r="Z42" s="242"/>
      <c r="AA42" s="55"/>
      <c r="AB42" s="408"/>
      <c r="AC42" s="188">
        <f>SUM(B43:Z43)</f>
        <v>0</v>
      </c>
      <c r="AD42" s="211"/>
      <c r="AE42" s="188">
        <f>Z17</f>
        <v>10</v>
      </c>
      <c r="AF42" s="189"/>
      <c r="AG42" s="284">
        <f t="shared" ref="AG42" si="5">SUM(AC42,AE42)</f>
        <v>10</v>
      </c>
      <c r="AH42" s="197"/>
      <c r="AI42" s="285"/>
      <c r="AK42" s="197" t="e">
        <f>SUM(#REF!,AG42)</f>
        <v>#REF!</v>
      </c>
      <c r="AL42" s="197"/>
      <c r="AM42" s="197"/>
      <c r="AN42" s="197"/>
      <c r="AP42" s="216"/>
      <c r="AQ42" s="216"/>
      <c r="AR42" s="216"/>
      <c r="AS42" s="216"/>
      <c r="AT42" s="216"/>
      <c r="AU42" s="216"/>
      <c r="AV42" s="216"/>
      <c r="AW42" s="216"/>
      <c r="AX42" s="216"/>
    </row>
    <row r="43" spans="1:51" ht="15.75" thickBot="1" x14ac:dyDescent="0.3">
      <c r="A43" s="220"/>
      <c r="B43" s="50"/>
      <c r="C43" s="51"/>
      <c r="D43" s="51"/>
      <c r="E43" s="51"/>
      <c r="F43" s="52"/>
      <c r="G43" s="51"/>
      <c r="H43" s="51"/>
      <c r="I43" s="51"/>
      <c r="J43" s="53"/>
      <c r="K43" s="60"/>
      <c r="L43" s="50"/>
      <c r="M43" s="51"/>
      <c r="N43" s="51"/>
      <c r="O43" s="52"/>
      <c r="P43" s="51"/>
      <c r="Q43" s="51"/>
      <c r="R43" s="53"/>
      <c r="S43" s="60"/>
      <c r="T43" s="198"/>
      <c r="U43" s="199"/>
      <c r="V43" s="200"/>
      <c r="W43" s="201"/>
      <c r="X43" s="217"/>
      <c r="Y43" s="218"/>
      <c r="Z43" s="201"/>
      <c r="AA43" s="55"/>
      <c r="AB43" s="408"/>
      <c r="AC43" s="212"/>
      <c r="AD43" s="221"/>
      <c r="AE43" s="212"/>
      <c r="AF43" s="213"/>
      <c r="AG43" s="214"/>
      <c r="AH43" s="215"/>
      <c r="AI43" s="213"/>
      <c r="AK43" s="197"/>
      <c r="AL43" s="197"/>
      <c r="AM43" s="197"/>
      <c r="AN43" s="197"/>
      <c r="AP43" s="216"/>
      <c r="AQ43" s="216"/>
      <c r="AR43" s="216"/>
      <c r="AS43" s="216"/>
      <c r="AT43" s="216"/>
      <c r="AU43" s="216"/>
      <c r="AV43" s="216"/>
      <c r="AW43" s="216"/>
      <c r="AX43" s="216"/>
    </row>
    <row r="44" spans="1:51" x14ac:dyDescent="0.25">
      <c r="A44" s="286" t="s">
        <v>296</v>
      </c>
      <c r="B44" s="50" t="s">
        <v>27</v>
      </c>
      <c r="C44" s="51" t="s">
        <v>41</v>
      </c>
      <c r="D44" s="51" t="s">
        <v>46</v>
      </c>
      <c r="E44" s="51" t="s">
        <v>10</v>
      </c>
      <c r="F44" s="52"/>
      <c r="G44" s="51" t="s">
        <v>39</v>
      </c>
      <c r="H44" s="51" t="s">
        <v>38</v>
      </c>
      <c r="I44" s="51" t="s">
        <v>11</v>
      </c>
      <c r="J44" s="53" t="s">
        <v>15</v>
      </c>
      <c r="K44" s="60"/>
      <c r="L44" s="50" t="s">
        <v>12</v>
      </c>
      <c r="M44" s="51" t="s">
        <v>54</v>
      </c>
      <c r="N44" s="51" t="s">
        <v>40</v>
      </c>
      <c r="O44" s="52"/>
      <c r="P44" s="51" t="s">
        <v>44</v>
      </c>
      <c r="Q44" s="51" t="s">
        <v>9</v>
      </c>
      <c r="R44" s="53" t="s">
        <v>43</v>
      </c>
      <c r="S44" s="56"/>
      <c r="T44" s="280" t="s">
        <v>12</v>
      </c>
      <c r="U44" s="281"/>
      <c r="V44" s="297" t="s">
        <v>39</v>
      </c>
      <c r="W44" s="287"/>
      <c r="X44" s="280" t="s">
        <v>12</v>
      </c>
      <c r="Y44" s="242"/>
      <c r="Z44" s="287"/>
      <c r="AA44" s="55"/>
      <c r="AB44" s="408"/>
      <c r="AC44" s="188">
        <f>SUM(B45:Z45)</f>
        <v>0</v>
      </c>
      <c r="AD44" s="211"/>
      <c r="AE44" s="188">
        <f>Z19</f>
        <v>7</v>
      </c>
      <c r="AF44" s="189"/>
      <c r="AG44" s="284">
        <f t="shared" ref="AG44" si="6">SUM(AC44,AE44)</f>
        <v>7</v>
      </c>
      <c r="AH44" s="197"/>
      <c r="AI44" s="285"/>
      <c r="AK44" s="197" t="e">
        <f>SUM(#REF!,AG44)</f>
        <v>#REF!</v>
      </c>
      <c r="AL44" s="197"/>
      <c r="AM44" s="197"/>
      <c r="AN44" s="197"/>
    </row>
    <row r="45" spans="1:51" ht="15.75" thickBot="1" x14ac:dyDescent="0.3">
      <c r="A45" s="220"/>
      <c r="B45" s="50"/>
      <c r="C45" s="51"/>
      <c r="D45" s="51" t="s">
        <v>676</v>
      </c>
      <c r="E45" s="51"/>
      <c r="F45" s="52"/>
      <c r="G45" s="51"/>
      <c r="H45" s="51"/>
      <c r="I45" s="51"/>
      <c r="J45" s="53"/>
      <c r="K45" s="60"/>
      <c r="L45" s="50"/>
      <c r="M45" s="51"/>
      <c r="N45" s="51"/>
      <c r="O45" s="52"/>
      <c r="P45" s="51"/>
      <c r="Q45" s="51"/>
      <c r="R45" s="53" t="s">
        <v>676</v>
      </c>
      <c r="S45" s="60"/>
      <c r="T45" s="198"/>
      <c r="U45" s="199"/>
      <c r="V45" s="296"/>
      <c r="W45" s="203"/>
      <c r="X45" s="198"/>
      <c r="Y45" s="202"/>
      <c r="Z45" s="203"/>
      <c r="AA45" s="55"/>
      <c r="AB45" s="408"/>
      <c r="AC45" s="212"/>
      <c r="AD45" s="221"/>
      <c r="AE45" s="212"/>
      <c r="AF45" s="213"/>
      <c r="AG45" s="214"/>
      <c r="AH45" s="215"/>
      <c r="AI45" s="213"/>
      <c r="AK45" s="197"/>
      <c r="AL45" s="197"/>
      <c r="AM45" s="197"/>
      <c r="AN45" s="197"/>
    </row>
    <row r="46" spans="1:51" x14ac:dyDescent="0.25">
      <c r="A46" s="286" t="s">
        <v>309</v>
      </c>
      <c r="B46" s="50" t="s">
        <v>27</v>
      </c>
      <c r="C46" s="51" t="s">
        <v>41</v>
      </c>
      <c r="D46" s="51" t="s">
        <v>55</v>
      </c>
      <c r="E46" s="51" t="s">
        <v>10</v>
      </c>
      <c r="F46" s="52"/>
      <c r="G46" s="51" t="s">
        <v>39</v>
      </c>
      <c r="H46" s="51" t="s">
        <v>38</v>
      </c>
      <c r="I46" s="51" t="s">
        <v>11</v>
      </c>
      <c r="J46" s="53" t="s">
        <v>15</v>
      </c>
      <c r="K46" s="11"/>
      <c r="L46" s="50" t="s">
        <v>27</v>
      </c>
      <c r="M46" s="51" t="s">
        <v>41</v>
      </c>
      <c r="N46" s="51" t="s">
        <v>10</v>
      </c>
      <c r="O46" s="52"/>
      <c r="P46" s="51" t="s">
        <v>39</v>
      </c>
      <c r="Q46" s="51" t="s">
        <v>38</v>
      </c>
      <c r="R46" s="53" t="s">
        <v>15</v>
      </c>
      <c r="T46" s="280" t="s">
        <v>10</v>
      </c>
      <c r="U46" s="281"/>
      <c r="V46" s="242" t="s">
        <v>39</v>
      </c>
      <c r="W46" s="242"/>
      <c r="X46" s="206" t="s">
        <v>10</v>
      </c>
      <c r="Y46" s="210"/>
      <c r="Z46" s="209"/>
      <c r="AA46" s="55"/>
      <c r="AB46" s="408"/>
      <c r="AC46" s="188">
        <f>SUM(B47:Z47)</f>
        <v>0</v>
      </c>
      <c r="AD46" s="211"/>
      <c r="AE46" s="188">
        <f>Z21</f>
        <v>8</v>
      </c>
      <c r="AF46" s="189"/>
      <c r="AG46" s="284">
        <f t="shared" ref="AG46" si="7">SUM(AC46,AE46)</f>
        <v>8</v>
      </c>
      <c r="AH46" s="197"/>
      <c r="AI46" s="285"/>
      <c r="AK46" s="197" t="e">
        <f>SUM(#REF!,AG46)</f>
        <v>#REF!</v>
      </c>
      <c r="AL46" s="197"/>
      <c r="AM46" s="197"/>
      <c r="AN46" s="197"/>
      <c r="AP46" s="216"/>
      <c r="AQ46" s="216"/>
      <c r="AR46" s="216"/>
      <c r="AS46" s="216"/>
      <c r="AT46" s="216"/>
      <c r="AU46" s="216"/>
      <c r="AV46" s="216"/>
      <c r="AW46" s="216"/>
      <c r="AX46" s="216"/>
    </row>
    <row r="47" spans="1:51" ht="15.75" thickBot="1" x14ac:dyDescent="0.3">
      <c r="A47" s="220"/>
      <c r="B47" s="50"/>
      <c r="C47" s="51"/>
      <c r="D47" s="51"/>
      <c r="E47" s="51"/>
      <c r="F47" s="52"/>
      <c r="G47" s="51"/>
      <c r="H47" s="51"/>
      <c r="I47" s="51"/>
      <c r="J47" s="53"/>
      <c r="K47" s="11"/>
      <c r="L47" s="50"/>
      <c r="M47" s="51"/>
      <c r="N47" s="51"/>
      <c r="O47" s="52"/>
      <c r="P47" s="51"/>
      <c r="Q47" s="51"/>
      <c r="R47" s="53"/>
      <c r="S47" s="11"/>
      <c r="T47" s="198"/>
      <c r="U47" s="199"/>
      <c r="V47" s="200"/>
      <c r="W47" s="201"/>
      <c r="X47" s="217"/>
      <c r="Y47" s="218"/>
      <c r="Z47" s="201"/>
      <c r="AA47" s="55"/>
      <c r="AB47" s="408"/>
      <c r="AC47" s="212"/>
      <c r="AD47" s="221"/>
      <c r="AE47" s="212"/>
      <c r="AF47" s="213"/>
      <c r="AG47" s="214"/>
      <c r="AH47" s="215"/>
      <c r="AI47" s="213"/>
      <c r="AK47" s="197"/>
      <c r="AL47" s="197"/>
      <c r="AM47" s="197"/>
      <c r="AN47" s="197"/>
      <c r="AP47" s="216"/>
      <c r="AQ47" s="216"/>
      <c r="AR47" s="216"/>
      <c r="AS47" s="216"/>
      <c r="AT47" s="216"/>
      <c r="AU47" s="216"/>
      <c r="AV47" s="216"/>
      <c r="AW47" s="216"/>
      <c r="AX47" s="216"/>
    </row>
    <row r="48" spans="1:51" x14ac:dyDescent="0.25">
      <c r="A48" s="247" t="s">
        <v>308</v>
      </c>
      <c r="B48" s="50" t="s">
        <v>27</v>
      </c>
      <c r="C48" s="51" t="s">
        <v>41</v>
      </c>
      <c r="D48" s="51" t="s">
        <v>46</v>
      </c>
      <c r="E48" s="51" t="s">
        <v>10</v>
      </c>
      <c r="F48" s="52"/>
      <c r="G48" s="51" t="s">
        <v>39</v>
      </c>
      <c r="H48" s="51" t="s">
        <v>44</v>
      </c>
      <c r="I48" s="51" t="s">
        <v>50</v>
      </c>
      <c r="J48" s="53" t="s">
        <v>42</v>
      </c>
      <c r="K48" s="11"/>
      <c r="L48" s="50" t="s">
        <v>40</v>
      </c>
      <c r="M48" s="51" t="s">
        <v>56</v>
      </c>
      <c r="N48" s="51" t="s">
        <v>16</v>
      </c>
      <c r="O48" s="52"/>
      <c r="P48" s="51" t="s">
        <v>43</v>
      </c>
      <c r="Q48" s="51" t="s">
        <v>44</v>
      </c>
      <c r="R48" s="53" t="s">
        <v>18</v>
      </c>
      <c r="S48" s="11"/>
      <c r="T48" s="280" t="s">
        <v>27</v>
      </c>
      <c r="U48" s="281"/>
      <c r="V48" s="242" t="s">
        <v>39</v>
      </c>
      <c r="W48" s="242"/>
      <c r="X48" s="206" t="s">
        <v>27</v>
      </c>
      <c r="Y48" s="210"/>
      <c r="Z48" s="209"/>
      <c r="AC48" s="188">
        <f>SUM(B49:Z49)</f>
        <v>0</v>
      </c>
      <c r="AD48" s="211"/>
      <c r="AE48" s="188">
        <f>Z23</f>
        <v>8</v>
      </c>
      <c r="AF48" s="189"/>
      <c r="AG48" s="284">
        <f t="shared" ref="AG48" si="8">SUM(AC48,AE48)</f>
        <v>8</v>
      </c>
      <c r="AH48" s="197"/>
      <c r="AI48" s="285"/>
      <c r="AK48" s="197" t="e">
        <f>SUM(#REF!,AG48)</f>
        <v>#REF!</v>
      </c>
      <c r="AL48" s="197"/>
      <c r="AM48" s="197"/>
      <c r="AN48" s="197"/>
      <c r="AP48" s="82"/>
      <c r="AQ48" s="82"/>
      <c r="AR48" s="82"/>
      <c r="AS48" s="82"/>
      <c r="AT48" s="82"/>
      <c r="AU48" s="82"/>
      <c r="AV48" s="82"/>
      <c r="AW48" s="82"/>
      <c r="AX48" s="82"/>
    </row>
    <row r="49" spans="1:50" ht="15.75" thickBot="1" x14ac:dyDescent="0.3">
      <c r="A49" s="205"/>
      <c r="B49" s="50"/>
      <c r="C49" s="51"/>
      <c r="D49" s="51" t="s">
        <v>676</v>
      </c>
      <c r="E49" s="51"/>
      <c r="F49" s="57"/>
      <c r="G49" s="51"/>
      <c r="H49" s="51"/>
      <c r="I49" s="51" t="s">
        <v>676</v>
      </c>
      <c r="J49" s="53"/>
      <c r="K49" s="32"/>
      <c r="L49" s="50"/>
      <c r="M49" s="51"/>
      <c r="N49" s="51" t="s">
        <v>676</v>
      </c>
      <c r="O49" s="52"/>
      <c r="P49" s="51" t="s">
        <v>676</v>
      </c>
      <c r="Q49" s="51"/>
      <c r="R49" s="53"/>
      <c r="S49" s="30"/>
      <c r="T49" s="198"/>
      <c r="U49" s="199"/>
      <c r="V49" s="200"/>
      <c r="W49" s="201"/>
      <c r="X49" s="217"/>
      <c r="Y49" s="218"/>
      <c r="Z49" s="201"/>
      <c r="AC49" s="212"/>
      <c r="AD49" s="221"/>
      <c r="AE49" s="212"/>
      <c r="AF49" s="213"/>
      <c r="AG49" s="214"/>
      <c r="AH49" s="215"/>
      <c r="AI49" s="213"/>
      <c r="AK49" s="197"/>
      <c r="AL49" s="197"/>
      <c r="AM49" s="197"/>
      <c r="AN49" s="197"/>
      <c r="AP49" s="82"/>
      <c r="AQ49" s="82"/>
      <c r="AR49" s="82"/>
      <c r="AS49" s="82"/>
      <c r="AT49" s="82"/>
      <c r="AU49" s="82"/>
      <c r="AV49" s="82"/>
      <c r="AW49" s="82"/>
      <c r="AX49" s="82"/>
    </row>
    <row r="50" spans="1:50" ht="15.75" thickBot="1" x14ac:dyDescent="0.3">
      <c r="A50" s="29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7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G50" s="31"/>
      <c r="AH50" s="31"/>
      <c r="AI50" s="31"/>
    </row>
    <row r="51" spans="1:50" ht="15" customHeight="1" thickTop="1" x14ac:dyDescent="0.25">
      <c r="A51" s="271" t="s">
        <v>13</v>
      </c>
      <c r="B51" s="21"/>
      <c r="C51" s="21"/>
      <c r="D51" s="273" t="s">
        <v>136</v>
      </c>
      <c r="E51" s="273"/>
      <c r="F51" s="22"/>
      <c r="G51" s="67"/>
      <c r="H51" s="23"/>
      <c r="I51" s="273" t="s">
        <v>0</v>
      </c>
      <c r="J51" s="273"/>
      <c r="K51" s="67"/>
      <c r="L51" s="24"/>
      <c r="M51" s="23"/>
      <c r="N51" s="273" t="s">
        <v>1</v>
      </c>
      <c r="O51" s="273"/>
      <c r="P51" s="22"/>
      <c r="Q51" s="64"/>
      <c r="R51" s="23"/>
      <c r="S51" s="23"/>
      <c r="T51" s="22" t="s">
        <v>2</v>
      </c>
      <c r="U51" s="24"/>
      <c r="V51" s="25"/>
      <c r="W51" s="22"/>
      <c r="X51" s="22" t="s">
        <v>562</v>
      </c>
      <c r="Y51" s="22"/>
      <c r="Z51" s="274" t="s">
        <v>32</v>
      </c>
      <c r="AA51" s="275"/>
      <c r="AB51" s="403"/>
    </row>
    <row r="52" spans="1:50" ht="15" customHeight="1" x14ac:dyDescent="0.25">
      <c r="A52" s="272"/>
      <c r="B52" s="4">
        <v>4</v>
      </c>
      <c r="C52" s="5">
        <v>5</v>
      </c>
      <c r="D52" s="5">
        <v>8</v>
      </c>
      <c r="E52" s="5">
        <v>14</v>
      </c>
      <c r="F52" s="5">
        <v>22</v>
      </c>
      <c r="G52" s="6">
        <v>29</v>
      </c>
      <c r="H52" s="4">
        <v>5</v>
      </c>
      <c r="I52" s="7">
        <v>12</v>
      </c>
      <c r="J52" s="5">
        <v>20</v>
      </c>
      <c r="K52" s="6">
        <v>26</v>
      </c>
      <c r="L52" s="7">
        <v>2</v>
      </c>
      <c r="M52" s="5">
        <v>9</v>
      </c>
      <c r="N52" s="5">
        <v>13</v>
      </c>
      <c r="O52" s="5">
        <v>23</v>
      </c>
      <c r="P52" s="5">
        <v>27</v>
      </c>
      <c r="Q52" s="65">
        <v>27</v>
      </c>
      <c r="R52" s="7">
        <v>7</v>
      </c>
      <c r="S52" s="8">
        <v>11</v>
      </c>
      <c r="T52" s="8">
        <v>18</v>
      </c>
      <c r="U52" s="8">
        <v>21</v>
      </c>
      <c r="V52" s="66">
        <v>25</v>
      </c>
      <c r="W52" s="7" t="s">
        <v>561</v>
      </c>
      <c r="X52" s="5" t="s">
        <v>561</v>
      </c>
      <c r="Y52" s="8" t="s">
        <v>561</v>
      </c>
      <c r="Z52" s="276"/>
      <c r="AA52" s="277"/>
      <c r="AB52" s="403"/>
    </row>
    <row r="53" spans="1:50" ht="15.75" customHeight="1" thickBot="1" x14ac:dyDescent="0.3">
      <c r="A53" s="72" t="s">
        <v>14</v>
      </c>
      <c r="B53" s="9">
        <v>1</v>
      </c>
      <c r="C53" s="10">
        <v>2</v>
      </c>
      <c r="D53" s="10">
        <v>3</v>
      </c>
      <c r="E53" s="10">
        <v>4</v>
      </c>
      <c r="F53" s="10">
        <v>5</v>
      </c>
      <c r="G53" s="38">
        <v>6</v>
      </c>
      <c r="H53" s="37">
        <v>7</v>
      </c>
      <c r="I53" s="37">
        <v>8</v>
      </c>
      <c r="J53" s="10">
        <v>9</v>
      </c>
      <c r="K53" s="38">
        <v>10</v>
      </c>
      <c r="L53" s="37">
        <v>11</v>
      </c>
      <c r="M53" s="10">
        <v>12</v>
      </c>
      <c r="N53" s="10">
        <v>13</v>
      </c>
      <c r="O53" s="10">
        <v>14</v>
      </c>
      <c r="P53" s="10">
        <v>15</v>
      </c>
      <c r="Q53" s="38">
        <v>16</v>
      </c>
      <c r="R53" s="37">
        <v>17</v>
      </c>
      <c r="S53" s="10">
        <v>18</v>
      </c>
      <c r="T53" s="10">
        <v>19</v>
      </c>
      <c r="U53" s="37">
        <v>20</v>
      </c>
      <c r="V53" s="38">
        <v>21</v>
      </c>
      <c r="W53" s="37">
        <v>22</v>
      </c>
      <c r="X53" s="10">
        <v>23</v>
      </c>
      <c r="Y53" s="10">
        <v>24</v>
      </c>
      <c r="Z53" s="278"/>
      <c r="AA53" s="279"/>
      <c r="AB53" s="403"/>
    </row>
    <row r="54" spans="1:50" x14ac:dyDescent="0.25">
      <c r="A54" s="87" t="s">
        <v>295</v>
      </c>
      <c r="B54" s="71" t="s">
        <v>49</v>
      </c>
      <c r="C54" s="69" t="s">
        <v>10</v>
      </c>
      <c r="D54" s="69" t="s">
        <v>44</v>
      </c>
      <c r="E54" s="69" t="s">
        <v>46</v>
      </c>
      <c r="F54" s="69" t="s">
        <v>41</v>
      </c>
      <c r="G54" s="69" t="s">
        <v>40</v>
      </c>
      <c r="H54" s="69" t="s">
        <v>16</v>
      </c>
      <c r="I54" s="69" t="s">
        <v>52</v>
      </c>
      <c r="J54" s="69" t="s">
        <v>42</v>
      </c>
      <c r="K54" s="69" t="s">
        <v>20</v>
      </c>
      <c r="L54" s="69" t="s">
        <v>18</v>
      </c>
      <c r="M54" s="69" t="s">
        <v>27</v>
      </c>
      <c r="N54" s="69" t="s">
        <v>19</v>
      </c>
      <c r="O54" s="69" t="s">
        <v>48</v>
      </c>
      <c r="P54" s="69" t="s">
        <v>9</v>
      </c>
      <c r="Q54" s="69" t="s">
        <v>10</v>
      </c>
      <c r="R54" s="69" t="s">
        <v>41</v>
      </c>
      <c r="S54" s="69" t="s">
        <v>50</v>
      </c>
      <c r="T54" s="70" t="s">
        <v>15</v>
      </c>
      <c r="U54" s="69" t="s">
        <v>47</v>
      </c>
      <c r="V54" s="69" t="s">
        <v>43</v>
      </c>
      <c r="W54" s="69" t="s">
        <v>12</v>
      </c>
      <c r="X54" s="69" t="s">
        <v>51</v>
      </c>
      <c r="Y54" s="69" t="s">
        <v>18</v>
      </c>
      <c r="Z54" s="243">
        <f>SUM(B55:Y55)</f>
        <v>5</v>
      </c>
      <c r="AA54" s="189"/>
      <c r="AB54" s="404"/>
    </row>
    <row r="55" spans="1:50" ht="15.75" thickBot="1" x14ac:dyDescent="0.3">
      <c r="A55" s="88"/>
      <c r="B55" s="2">
        <f>IF(B74="Dallas Cowboys",1,0)</f>
        <v>0</v>
      </c>
      <c r="C55" s="1">
        <f>IF(C74="Kansas City Chiefs",1,0)</f>
        <v>0</v>
      </c>
      <c r="D55" s="1">
        <f>IF(D74="Minnesota Vikings",1,0)</f>
        <v>1</v>
      </c>
      <c r="E55" s="1">
        <f>IF(E74="Tennessee Titans",1,0)</f>
        <v>0</v>
      </c>
      <c r="F55" s="1">
        <f>IF(F74="Baltimore Ravens",1,0)</f>
        <v>0</v>
      </c>
      <c r="G55" s="1">
        <f>IF(G74="Cincinnati Bengals",1,0)</f>
        <v>0</v>
      </c>
      <c r="H55" s="1">
        <f>IF(H74="Las Vegas Raiders",1,0)</f>
        <v>0</v>
      </c>
      <c r="I55" s="1">
        <f>IF(I74="Cleveland Browns",1,0)</f>
        <v>0</v>
      </c>
      <c r="J55" s="1">
        <f>IF(J74="Seattle Seahawks",1,0)</f>
        <v>1</v>
      </c>
      <c r="K55" s="1">
        <f>IF(K74="New Orleans Saints",1,0)</f>
        <v>0</v>
      </c>
      <c r="L55" s="1">
        <f>IF(L74="San Francisco 49ers",1,0)</f>
        <v>1</v>
      </c>
      <c r="M55" s="1">
        <f>IF(M74="Buffalo Bills",1,0)</f>
        <v>0</v>
      </c>
      <c r="N55" s="1">
        <f>IF(N74="New England Patriots",1,0)</f>
        <v>1</v>
      </c>
      <c r="O55" s="1">
        <f>IF(O74="Arizona Cardinals",1,0)</f>
        <v>0</v>
      </c>
      <c r="P55" s="1">
        <f>IF(P74="Green Bay Packers",1,0)</f>
        <v>1</v>
      </c>
      <c r="Q55" s="1">
        <f>IF(Q74="Kansas City Chiefs",1,0)</f>
        <v>0</v>
      </c>
      <c r="R55" s="1">
        <f>IF(R74="Baltimore Ravens",1,0)</f>
        <v>0</v>
      </c>
      <c r="S55" s="1">
        <f>IF(S74="Atlanta Falcons",1,0)</f>
        <v>0</v>
      </c>
      <c r="T55" s="1">
        <f>IF(T74="Los Angeles Rams",1,0)</f>
        <v>0</v>
      </c>
      <c r="U55" s="1">
        <f>IF(U74="Carolina Panthers",1,0)</f>
        <v>0</v>
      </c>
      <c r="V55" s="1">
        <f>IF(V74="Washington Commanders",1,0)</f>
        <v>0</v>
      </c>
      <c r="W55" s="1">
        <f>IF(W74="Los Angeles Chargers",1,0)</f>
        <v>0</v>
      </c>
      <c r="X55" s="1">
        <f>IF(X74="Jacksonville Jaguars",1,0)</f>
        <v>0</v>
      </c>
      <c r="Y55" s="3">
        <f>IF(Y74="San Francisco 49ers",1,0)</f>
        <v>0</v>
      </c>
      <c r="Z55" s="214"/>
      <c r="AA55" s="213"/>
      <c r="AB55" s="404"/>
    </row>
    <row r="56" spans="1:50" x14ac:dyDescent="0.25">
      <c r="A56" s="87" t="s">
        <v>565</v>
      </c>
      <c r="B56" s="68" t="s">
        <v>39</v>
      </c>
      <c r="C56" s="69" t="s">
        <v>10</v>
      </c>
      <c r="D56" s="69" t="s">
        <v>44</v>
      </c>
      <c r="E56" s="69" t="s">
        <v>15</v>
      </c>
      <c r="F56" s="69" t="s">
        <v>41</v>
      </c>
      <c r="G56" s="69" t="s">
        <v>57</v>
      </c>
      <c r="H56" s="69" t="s">
        <v>16</v>
      </c>
      <c r="I56" s="69" t="s">
        <v>52</v>
      </c>
      <c r="J56" s="69" t="s">
        <v>42</v>
      </c>
      <c r="K56" s="69" t="s">
        <v>11</v>
      </c>
      <c r="L56" s="69" t="s">
        <v>18</v>
      </c>
      <c r="M56" s="69" t="s">
        <v>45</v>
      </c>
      <c r="N56" s="69" t="s">
        <v>21</v>
      </c>
      <c r="O56" s="69" t="s">
        <v>48</v>
      </c>
      <c r="P56" s="69" t="s">
        <v>38</v>
      </c>
      <c r="Q56" s="69" t="s">
        <v>10</v>
      </c>
      <c r="R56" s="69" t="s">
        <v>41</v>
      </c>
      <c r="S56" s="69" t="s">
        <v>11</v>
      </c>
      <c r="T56" s="70" t="s">
        <v>42</v>
      </c>
      <c r="U56" s="69" t="s">
        <v>11</v>
      </c>
      <c r="V56" s="69" t="s">
        <v>49</v>
      </c>
      <c r="W56" s="69" t="s">
        <v>12</v>
      </c>
      <c r="X56" s="69" t="s">
        <v>46</v>
      </c>
      <c r="Y56" s="69" t="s">
        <v>18</v>
      </c>
      <c r="Z56" s="243">
        <f>SUM(B57:Y57)</f>
        <v>8</v>
      </c>
      <c r="AA56" s="189"/>
      <c r="AB56" s="404"/>
    </row>
    <row r="57" spans="1:50" ht="15.75" thickBot="1" x14ac:dyDescent="0.3">
      <c r="A57" s="88"/>
      <c r="B57" s="2">
        <f>IF(B74="Philadelphia Eagles",1,0)</f>
        <v>1</v>
      </c>
      <c r="C57" s="1">
        <f>IF(C74="Kansas City Chiefs",1,0)</f>
        <v>0</v>
      </c>
      <c r="D57" s="1">
        <f>IF(D74="Minnesota Vikings",1,0)</f>
        <v>1</v>
      </c>
      <c r="E57" s="1">
        <f>IF(E74="Los Angeles Rams",1,0)</f>
        <v>1</v>
      </c>
      <c r="F57" s="1">
        <f>IF(F74="Baltimore Ravens",1,0)</f>
        <v>0</v>
      </c>
      <c r="G57" s="1">
        <f>IF(G74="Denver Broncos",1,0)</f>
        <v>1</v>
      </c>
      <c r="H57" s="1">
        <f>IF(H74="Las Vegas Raiders",1,0)</f>
        <v>0</v>
      </c>
      <c r="I57" s="1">
        <f>IF(I74="Cleveland Browns",1,0)</f>
        <v>0</v>
      </c>
      <c r="J57" s="1">
        <f>IF(J74="Seattle Seahawks",1,0)</f>
        <v>1</v>
      </c>
      <c r="K57" s="1">
        <f>IF(K74="Tampa Bay Buccaneers",1,0)</f>
        <v>1</v>
      </c>
      <c r="L57" s="1">
        <f>IF(L74="San Francisco 49ers",1,0)</f>
        <v>1</v>
      </c>
      <c r="M57" s="1">
        <f>IF(M74="Miami Dolphins",1,0)</f>
        <v>1</v>
      </c>
      <c r="N57" s="1">
        <f>IF(N74="New York Jets",1,0)</f>
        <v>0</v>
      </c>
      <c r="O57" s="1">
        <f>IF(O74="Arizona Cardinals",1,0)</f>
        <v>0</v>
      </c>
      <c r="P57" s="1">
        <f>IF(P74="Detroit Lions",1,0)</f>
        <v>0</v>
      </c>
      <c r="Q57" s="1">
        <f>IF(Q74="Kansas City Chiefs",1,0)</f>
        <v>0</v>
      </c>
      <c r="R57" s="1">
        <f>IF(R74="Baltimore Ravens",1,0)</f>
        <v>0</v>
      </c>
      <c r="S57" s="1">
        <f>IF(S74="Tampa Bay Buccaneers",1,0)</f>
        <v>0</v>
      </c>
      <c r="T57" s="1">
        <f>IF(T74="Seattle Seahawks",1,0)</f>
        <v>0</v>
      </c>
      <c r="U57" s="1">
        <f>IF(U74="Tampa Bay Buccaneers",1,0)</f>
        <v>0</v>
      </c>
      <c r="V57" s="1">
        <f>IF(V74="Dallas Cowboys",1,0)</f>
        <v>0</v>
      </c>
      <c r="W57" s="1">
        <f>IF(W74="Los Angeles Chargers",1,0)</f>
        <v>0</v>
      </c>
      <c r="X57" s="1">
        <f>IF(X74="Tennessee Titans",1,0)</f>
        <v>0</v>
      </c>
      <c r="Y57" s="3">
        <f>IF(Y74="San Francisco 49ers",1,0)</f>
        <v>0</v>
      </c>
      <c r="Z57" s="214"/>
      <c r="AA57" s="213"/>
      <c r="AB57" s="404"/>
    </row>
    <row r="58" spans="1:50" x14ac:dyDescent="0.25">
      <c r="A58" s="87" t="s">
        <v>595</v>
      </c>
      <c r="B58" s="68" t="s">
        <v>39</v>
      </c>
      <c r="C58" s="69" t="s">
        <v>12</v>
      </c>
      <c r="D58" s="69" t="s">
        <v>44</v>
      </c>
      <c r="E58" s="69" t="s">
        <v>46</v>
      </c>
      <c r="F58" s="69" t="s">
        <v>41</v>
      </c>
      <c r="G58" s="69" t="s">
        <v>40</v>
      </c>
      <c r="H58" s="69" t="s">
        <v>16</v>
      </c>
      <c r="I58" s="69" t="s">
        <v>54</v>
      </c>
      <c r="J58" s="69" t="s">
        <v>55</v>
      </c>
      <c r="K58" s="69" t="s">
        <v>11</v>
      </c>
      <c r="L58" s="69" t="s">
        <v>18</v>
      </c>
      <c r="M58" s="69" t="s">
        <v>27</v>
      </c>
      <c r="N58" s="69" t="s">
        <v>19</v>
      </c>
      <c r="O58" s="69" t="s">
        <v>48</v>
      </c>
      <c r="P58" s="69" t="s">
        <v>38</v>
      </c>
      <c r="Q58" s="69" t="s">
        <v>10</v>
      </c>
      <c r="R58" s="69" t="s">
        <v>41</v>
      </c>
      <c r="S58" s="69" t="s">
        <v>11</v>
      </c>
      <c r="T58" s="70" t="s">
        <v>15</v>
      </c>
      <c r="U58" s="69" t="s">
        <v>11</v>
      </c>
      <c r="V58" s="69" t="s">
        <v>43</v>
      </c>
      <c r="W58" s="69" t="s">
        <v>12</v>
      </c>
      <c r="X58" s="69" t="s">
        <v>46</v>
      </c>
      <c r="Y58" s="69" t="s">
        <v>18</v>
      </c>
      <c r="Z58" s="243">
        <f>SUM(B59:Y59)</f>
        <v>7</v>
      </c>
      <c r="AA58" s="189"/>
      <c r="AB58" s="404"/>
    </row>
    <row r="59" spans="1:50" ht="15.75" thickBot="1" x14ac:dyDescent="0.3">
      <c r="A59" s="88"/>
      <c r="B59" s="2">
        <f>IF(B74="Philadelphia Eagles",1,0)</f>
        <v>1</v>
      </c>
      <c r="C59" s="1">
        <f>IF(C74="Los Angeles Chargers",1,0)</f>
        <v>1</v>
      </c>
      <c r="D59" s="1">
        <f>IF(D74="Minnesota Vikings",1,0)</f>
        <v>1</v>
      </c>
      <c r="E59" s="1">
        <f>IF(E74="Tennessee Titans",1,0)</f>
        <v>0</v>
      </c>
      <c r="F59" s="1">
        <f>IF(F74="Baltimore Ravens",1,0)</f>
        <v>0</v>
      </c>
      <c r="G59" s="1">
        <f>IF(G74="Cincinnati Bengals",1,0)</f>
        <v>0</v>
      </c>
      <c r="H59" s="1">
        <f>IF(H74="Las Vegas Raiders",1,0)</f>
        <v>0</v>
      </c>
      <c r="I59" s="1">
        <f>IF(I74="Pittsburgh Steelers",1,0)</f>
        <v>1</v>
      </c>
      <c r="J59" s="1">
        <f>IF(J74="Houston Texans",1,0)</f>
        <v>0</v>
      </c>
      <c r="K59" s="1">
        <f>IF(K74="Tampa Bay Buccaneers",1,0)</f>
        <v>1</v>
      </c>
      <c r="L59" s="1">
        <f>IF(L74="San Francisco 49ers",1,0)</f>
        <v>1</v>
      </c>
      <c r="M59" s="1">
        <f>IF(M74="Buffalo Bills",1,0)</f>
        <v>0</v>
      </c>
      <c r="N59" s="1">
        <f>IF(N74="New England Patriots",1,0)</f>
        <v>1</v>
      </c>
      <c r="O59" s="1">
        <f>IF(O74="Arizona Cardinals",1,0)</f>
        <v>0</v>
      </c>
      <c r="P59" s="1">
        <f>IF(P74="Detroit Lions",1,0)</f>
        <v>0</v>
      </c>
      <c r="Q59" s="1">
        <f>IF(Q74="Kansas City Chiefs",1,0)</f>
        <v>0</v>
      </c>
      <c r="R59" s="1">
        <f>IF(R74="Baltimore Ravens",1,0)</f>
        <v>0</v>
      </c>
      <c r="S59" s="1">
        <f>IF(S74="Tampa Bay Buccaneers",1,0)</f>
        <v>0</v>
      </c>
      <c r="T59" s="1">
        <f>IF(T74="Los Angeles Rams",1,0)</f>
        <v>0</v>
      </c>
      <c r="U59" s="1">
        <f>IF(U74="Tampa Bay Buccaneers",1,0)</f>
        <v>0</v>
      </c>
      <c r="V59" s="1">
        <f>IF(V74="Washington Commanders",1,0)</f>
        <v>0</v>
      </c>
      <c r="W59" s="1">
        <f>IF(W74="Los Angeles Chargers",1,0)</f>
        <v>0</v>
      </c>
      <c r="X59" s="1">
        <f>IF(X74="Tennessee Titans",1,0)</f>
        <v>0</v>
      </c>
      <c r="Y59" s="3">
        <f>IF(Y74="San Francisco 49ers",1,0)</f>
        <v>0</v>
      </c>
      <c r="Z59" s="214"/>
      <c r="AA59" s="213"/>
      <c r="AB59" s="404"/>
    </row>
    <row r="60" spans="1:50" x14ac:dyDescent="0.25">
      <c r="A60" s="87" t="s">
        <v>596</v>
      </c>
      <c r="B60" s="68" t="s">
        <v>39</v>
      </c>
      <c r="C60" s="69" t="s">
        <v>12</v>
      </c>
      <c r="D60" s="69" t="s">
        <v>44</v>
      </c>
      <c r="E60" s="69" t="s">
        <v>15</v>
      </c>
      <c r="F60" s="69" t="s">
        <v>38</v>
      </c>
      <c r="G60" s="69" t="s">
        <v>57</v>
      </c>
      <c r="H60" s="69" t="s">
        <v>16</v>
      </c>
      <c r="I60" s="69" t="s">
        <v>54</v>
      </c>
      <c r="J60" s="69" t="s">
        <v>42</v>
      </c>
      <c r="K60" s="69" t="s">
        <v>11</v>
      </c>
      <c r="L60" s="69" t="s">
        <v>18</v>
      </c>
      <c r="M60" s="69" t="s">
        <v>27</v>
      </c>
      <c r="N60" s="69" t="s">
        <v>19</v>
      </c>
      <c r="O60" s="69" t="s">
        <v>51</v>
      </c>
      <c r="P60" s="69" t="s">
        <v>38</v>
      </c>
      <c r="Q60" s="69" t="s">
        <v>49</v>
      </c>
      <c r="R60" s="69" t="s">
        <v>41</v>
      </c>
      <c r="S60" s="69" t="s">
        <v>11</v>
      </c>
      <c r="T60" s="70" t="s">
        <v>42</v>
      </c>
      <c r="U60" s="69" t="s">
        <v>11</v>
      </c>
      <c r="V60" s="69" t="s">
        <v>43</v>
      </c>
      <c r="W60" s="69" t="s">
        <v>12</v>
      </c>
      <c r="X60" s="69" t="s">
        <v>51</v>
      </c>
      <c r="Y60" s="69" t="s">
        <v>18</v>
      </c>
      <c r="Z60" s="243">
        <f>SUM(B61:Y61)</f>
        <v>13</v>
      </c>
      <c r="AA60" s="189"/>
      <c r="AB60" s="404"/>
    </row>
    <row r="61" spans="1:50" ht="15.75" thickBot="1" x14ac:dyDescent="0.3">
      <c r="A61" s="88"/>
      <c r="B61" s="2">
        <f>IF(B74="Philadelphia Eagles",1,0)</f>
        <v>1</v>
      </c>
      <c r="C61" s="1">
        <f>IF(C74="Los Angeles Chargers",1,0)</f>
        <v>1</v>
      </c>
      <c r="D61" s="1">
        <f>IF(D74="Minnesota Vikings",1,0)</f>
        <v>1</v>
      </c>
      <c r="E61" s="1">
        <f>IF(E74="Los Angeles Rams",1,0)</f>
        <v>1</v>
      </c>
      <c r="F61" s="1">
        <f>IF(F74="Detroit Lions",1,0)</f>
        <v>1</v>
      </c>
      <c r="G61" s="1">
        <f>IF(G74="Denver Broncos",1,0)</f>
        <v>1</v>
      </c>
      <c r="H61" s="1">
        <f>IF(H74="Las Vegas Raiders",1,0)</f>
        <v>0</v>
      </c>
      <c r="I61" s="1">
        <f>IF(I74="Pittsburgh Steelers",1,0)</f>
        <v>1</v>
      </c>
      <c r="J61" s="1">
        <f>IF(J74="Seattle Seahawks",1,0)</f>
        <v>1</v>
      </c>
      <c r="K61" s="1">
        <f>IF(K74="Tampa Bay Buccaneers",1,0)</f>
        <v>1</v>
      </c>
      <c r="L61" s="1">
        <f>IF(L74="San Francisco 49ers",1,0)</f>
        <v>1</v>
      </c>
      <c r="M61" s="1">
        <f>IF(M74="Buffalo Bills",1,0)</f>
        <v>0</v>
      </c>
      <c r="N61" s="1">
        <f>IF(N74="New England Patriots",1,0)</f>
        <v>1</v>
      </c>
      <c r="O61" s="1">
        <f>IF(O74="Jacksonville Jaguars",1,0)</f>
        <v>1</v>
      </c>
      <c r="P61" s="1">
        <f>IF(P74="Detroit Lions",1,0)</f>
        <v>0</v>
      </c>
      <c r="Q61" s="1">
        <f>IF(Q74="Dallas Cowboys",1,0)</f>
        <v>1</v>
      </c>
      <c r="R61" s="1">
        <f>IF(R74="Baltimore Ravens",1,0)</f>
        <v>0</v>
      </c>
      <c r="S61" s="1">
        <f>IF(S74="Tampa Bay Buccaneers",1,0)</f>
        <v>0</v>
      </c>
      <c r="T61" s="1">
        <f>IF(T74="Seattle Seahawks",1,0)</f>
        <v>0</v>
      </c>
      <c r="U61" s="1">
        <f>IF(U74="Tampa Bay Buccaneers",1,0)</f>
        <v>0</v>
      </c>
      <c r="V61" s="1">
        <f>IF(V74="Washington Commanders",1,0)</f>
        <v>0</v>
      </c>
      <c r="W61" s="1">
        <f>IF(W74="Los Angeles Chargers",1,0)</f>
        <v>0</v>
      </c>
      <c r="X61" s="1">
        <f>IF(X74="Jacksonville Jaguars",1,0)</f>
        <v>0</v>
      </c>
      <c r="Y61" s="3">
        <f>IF(Y74="San Francisco 49ers",1,0)</f>
        <v>0</v>
      </c>
      <c r="Z61" s="214"/>
      <c r="AA61" s="213"/>
      <c r="AB61" s="404"/>
    </row>
    <row r="62" spans="1:50" x14ac:dyDescent="0.25">
      <c r="A62" s="87" t="s">
        <v>297</v>
      </c>
      <c r="B62" s="68" t="s">
        <v>39</v>
      </c>
      <c r="C62" s="69" t="s">
        <v>10</v>
      </c>
      <c r="D62" s="69" t="s">
        <v>53</v>
      </c>
      <c r="E62" s="69" t="s">
        <v>15</v>
      </c>
      <c r="F62" s="69" t="s">
        <v>41</v>
      </c>
      <c r="G62" s="69" t="s">
        <v>57</v>
      </c>
      <c r="H62" s="69" t="s">
        <v>56</v>
      </c>
      <c r="I62" s="69" t="s">
        <v>54</v>
      </c>
      <c r="J62" s="69" t="s">
        <v>55</v>
      </c>
      <c r="K62" s="69" t="s">
        <v>11</v>
      </c>
      <c r="L62" s="69" t="s">
        <v>18</v>
      </c>
      <c r="M62" s="69" t="s">
        <v>27</v>
      </c>
      <c r="N62" s="69" t="s">
        <v>19</v>
      </c>
      <c r="O62" s="69" t="s">
        <v>48</v>
      </c>
      <c r="P62" s="69" t="s">
        <v>38</v>
      </c>
      <c r="Q62" s="69" t="s">
        <v>10</v>
      </c>
      <c r="R62" s="69" t="s">
        <v>41</v>
      </c>
      <c r="S62" s="69" t="s">
        <v>11</v>
      </c>
      <c r="T62" s="70" t="s">
        <v>15</v>
      </c>
      <c r="U62" s="69" t="s">
        <v>11</v>
      </c>
      <c r="V62" s="69" t="s">
        <v>43</v>
      </c>
      <c r="W62" s="69" t="s">
        <v>57</v>
      </c>
      <c r="X62" s="69" t="s">
        <v>51</v>
      </c>
      <c r="Y62" s="69" t="s">
        <v>18</v>
      </c>
      <c r="Z62" s="243">
        <f>SUM(B63:Y63)</f>
        <v>8</v>
      </c>
      <c r="AA62" s="189"/>
      <c r="AB62" s="404"/>
    </row>
    <row r="63" spans="1:50" ht="15.75" thickBot="1" x14ac:dyDescent="0.3">
      <c r="A63" s="88"/>
      <c r="B63" s="2">
        <f>IF(B74="Philadelphia Eagles",1,0)</f>
        <v>1</v>
      </c>
      <c r="C63" s="1">
        <f>IF(C74="Kansas City Chiefs",1,0)</f>
        <v>0</v>
      </c>
      <c r="D63" s="1">
        <f>IF(D74="Chicago Bears",1,0)</f>
        <v>0</v>
      </c>
      <c r="E63" s="1">
        <f>IF(E74="Los Angeles Rams",1,0)</f>
        <v>1</v>
      </c>
      <c r="F63" s="1">
        <f>IF(F74="Baltimore Ravens",1,0)</f>
        <v>0</v>
      </c>
      <c r="G63" s="1">
        <f>IF(G74="Denver Broncos",1,0)</f>
        <v>1</v>
      </c>
      <c r="H63" s="1">
        <f>IF(H74="Indianapolis Colts",1,0)</f>
        <v>1</v>
      </c>
      <c r="I63" s="1">
        <f>IF(I74="Pittsburgh Steelers",1,0)</f>
        <v>1</v>
      </c>
      <c r="J63" s="1">
        <f>IF(J74="Houston Texans",1,0)</f>
        <v>0</v>
      </c>
      <c r="K63" s="1">
        <f>IF(K74="Tampa Bay Buccaneers",1,0)</f>
        <v>1</v>
      </c>
      <c r="L63" s="1">
        <f>IF(L74="San Francisco 49ers",1,0)</f>
        <v>1</v>
      </c>
      <c r="M63" s="1">
        <f>IF(M74="Buffalo Bills",1,0)</f>
        <v>0</v>
      </c>
      <c r="N63" s="1">
        <f>IF(N74="New England Patriots",1,0)</f>
        <v>1</v>
      </c>
      <c r="O63" s="1">
        <f>IF(O74="Arizona Cardinals",1,0)</f>
        <v>0</v>
      </c>
      <c r="P63" s="1">
        <f>IF(P74="Detroit Lions",1,0)</f>
        <v>0</v>
      </c>
      <c r="Q63" s="1">
        <f>IF(Q74="Kansas City Chiefs",1,0)</f>
        <v>0</v>
      </c>
      <c r="R63" s="1">
        <f>IF(R74="Baltimore Ravens",1,0)</f>
        <v>0</v>
      </c>
      <c r="S63" s="1">
        <f>IF(S74="Tampa Bay Buccaneers",1,0)</f>
        <v>0</v>
      </c>
      <c r="T63" s="1">
        <f>IF(T74="Los Angeles Rams",1,0)</f>
        <v>0</v>
      </c>
      <c r="U63" s="1">
        <f>IF(U74="Tampa Bay Buccaneers",1,0)</f>
        <v>0</v>
      </c>
      <c r="V63" s="1">
        <f>IF(V74="Washington Commanders",1,0)</f>
        <v>0</v>
      </c>
      <c r="W63" s="1">
        <f>IF(W74="Denver Broncos",1,0)</f>
        <v>0</v>
      </c>
      <c r="X63" s="1">
        <f>IF(X74="Jacksonville Jaguars",1,0)</f>
        <v>0</v>
      </c>
      <c r="Y63" s="3">
        <f>IF(Y74="San Francisco 49ers",1,0)</f>
        <v>0</v>
      </c>
      <c r="Z63" s="214"/>
      <c r="AA63" s="213"/>
      <c r="AB63" s="404"/>
    </row>
    <row r="64" spans="1:50" x14ac:dyDescent="0.25">
      <c r="A64" s="85" t="s">
        <v>307</v>
      </c>
      <c r="B64" s="68" t="s">
        <v>39</v>
      </c>
      <c r="C64" s="69" t="s">
        <v>12</v>
      </c>
      <c r="D64" s="69" t="s">
        <v>53</v>
      </c>
      <c r="E64" s="69" t="s">
        <v>15</v>
      </c>
      <c r="F64" s="69" t="s">
        <v>41</v>
      </c>
      <c r="G64" s="69" t="s">
        <v>57</v>
      </c>
      <c r="H64" s="69" t="s">
        <v>16</v>
      </c>
      <c r="I64" s="69" t="s">
        <v>54</v>
      </c>
      <c r="J64" s="69" t="s">
        <v>55</v>
      </c>
      <c r="K64" s="69" t="s">
        <v>11</v>
      </c>
      <c r="L64" s="69" t="s">
        <v>17</v>
      </c>
      <c r="M64" s="69" t="s">
        <v>27</v>
      </c>
      <c r="N64" s="69" t="s">
        <v>19</v>
      </c>
      <c r="O64" s="69" t="s">
        <v>48</v>
      </c>
      <c r="P64" s="69" t="s">
        <v>9</v>
      </c>
      <c r="Q64" s="69" t="s">
        <v>49</v>
      </c>
      <c r="R64" s="69" t="s">
        <v>41</v>
      </c>
      <c r="S64" s="69" t="s">
        <v>11</v>
      </c>
      <c r="T64" s="70" t="s">
        <v>15</v>
      </c>
      <c r="U64" s="69" t="s">
        <v>11</v>
      </c>
      <c r="V64" s="69" t="s">
        <v>43</v>
      </c>
      <c r="W64" s="69" t="s">
        <v>57</v>
      </c>
      <c r="X64" s="69" t="s">
        <v>51</v>
      </c>
      <c r="Y64" s="69" t="s">
        <v>18</v>
      </c>
      <c r="Z64" s="243">
        <f>SUM(B65:Y65)</f>
        <v>9</v>
      </c>
      <c r="AA64" s="189"/>
      <c r="AB64" s="404"/>
    </row>
    <row r="65" spans="1:50" ht="15.75" thickBot="1" x14ac:dyDescent="0.3">
      <c r="A65" s="86"/>
      <c r="B65" s="2">
        <f>IF(B74="Philadelphia Eagles",1,0)</f>
        <v>1</v>
      </c>
      <c r="C65" s="1">
        <f>IF(C74="Los Angeles Chargers",1,0)</f>
        <v>1</v>
      </c>
      <c r="D65" s="1">
        <f>IF(D74="Chicago Bears",1,0)</f>
        <v>0</v>
      </c>
      <c r="E65" s="1">
        <f>IF(E74="Los Angeles Rams",1,0)</f>
        <v>1</v>
      </c>
      <c r="F65" s="1">
        <f>IF(F74="Baltimore Ravens",1,0)</f>
        <v>0</v>
      </c>
      <c r="G65" s="1">
        <f>IF(G74="Denver Broncos",1,0)</f>
        <v>1</v>
      </c>
      <c r="H65" s="1">
        <f>IF(H74="Las Vegas Raiders",1,0)</f>
        <v>0</v>
      </c>
      <c r="I65" s="1">
        <f>IF(I74="Pittsburgh Steelers",1,0)</f>
        <v>1</v>
      </c>
      <c r="J65" s="1">
        <f>IF(J74="Houston Texans",1,0)</f>
        <v>0</v>
      </c>
      <c r="K65" s="1">
        <f>IF(K74="Tampa Bay Buccaneers",1,0)</f>
        <v>1</v>
      </c>
      <c r="L65" s="1">
        <f>IF(L74="New York Giants",1,0)</f>
        <v>0</v>
      </c>
      <c r="M65" s="1">
        <f>IF(M74="Buffalo Bills",1,0)</f>
        <v>0</v>
      </c>
      <c r="N65" s="1">
        <f>IF(N74="New England Patriots",1,0)</f>
        <v>1</v>
      </c>
      <c r="O65" s="1">
        <f>IF(O74="Arizona Cardinals",1,0)</f>
        <v>0</v>
      </c>
      <c r="P65" s="1">
        <f>IF(P74="Green Bay Packers",1,0)</f>
        <v>1</v>
      </c>
      <c r="Q65" s="1">
        <f>IF(Q74="Dallas Cowboys",1,0)</f>
        <v>1</v>
      </c>
      <c r="R65" s="1">
        <f>IF(R74="Baltimore Ravens",1,0)</f>
        <v>0</v>
      </c>
      <c r="S65" s="1">
        <f>IF(S74="Tampa Bay Buccaneers",1,0)</f>
        <v>0</v>
      </c>
      <c r="T65" s="1">
        <f>IF(T74="Los Angeles Rams",1,0)</f>
        <v>0</v>
      </c>
      <c r="U65" s="1">
        <f>IF(U74="Tampa Bay Buccaneers",1,0)</f>
        <v>0</v>
      </c>
      <c r="V65" s="1">
        <f>IF(V74="Washington Commanders",1,0)</f>
        <v>0</v>
      </c>
      <c r="W65" s="1">
        <f>IF(W74="Denver Broncos",1,0)</f>
        <v>0</v>
      </c>
      <c r="X65" s="1">
        <f>IF(X74="Jacksonville Jaguars",1,0)</f>
        <v>0</v>
      </c>
      <c r="Y65" s="3">
        <f>IF(Y74="San Francisco 49ers",1,0)</f>
        <v>0</v>
      </c>
      <c r="Z65" s="214"/>
      <c r="AA65" s="213"/>
      <c r="AB65" s="404"/>
    </row>
    <row r="66" spans="1:50" x14ac:dyDescent="0.25">
      <c r="A66" s="244" t="s">
        <v>306</v>
      </c>
      <c r="B66" s="68" t="s">
        <v>39</v>
      </c>
      <c r="C66" s="69" t="s">
        <v>10</v>
      </c>
      <c r="D66" s="69" t="s">
        <v>44</v>
      </c>
      <c r="E66" s="69" t="s">
        <v>15</v>
      </c>
      <c r="F66" s="69" t="s">
        <v>41</v>
      </c>
      <c r="G66" s="69" t="s">
        <v>40</v>
      </c>
      <c r="H66" s="69" t="s">
        <v>56</v>
      </c>
      <c r="I66" s="69" t="s">
        <v>54</v>
      </c>
      <c r="J66" s="69" t="s">
        <v>55</v>
      </c>
      <c r="K66" s="69" t="s">
        <v>11</v>
      </c>
      <c r="L66" s="69" t="s">
        <v>18</v>
      </c>
      <c r="M66" s="69" t="s">
        <v>27</v>
      </c>
      <c r="N66" s="69" t="s">
        <v>21</v>
      </c>
      <c r="O66" s="69" t="s">
        <v>48</v>
      </c>
      <c r="P66" s="69" t="s">
        <v>38</v>
      </c>
      <c r="Q66" s="69" t="s">
        <v>10</v>
      </c>
      <c r="R66" s="69" t="s">
        <v>41</v>
      </c>
      <c r="S66" s="69" t="s">
        <v>11</v>
      </c>
      <c r="T66" s="70" t="s">
        <v>15</v>
      </c>
      <c r="U66" s="69" t="s">
        <v>11</v>
      </c>
      <c r="V66" s="69" t="s">
        <v>43</v>
      </c>
      <c r="W66" s="69" t="s">
        <v>57</v>
      </c>
      <c r="X66" s="69" t="s">
        <v>51</v>
      </c>
      <c r="Y66" s="69" t="s">
        <v>18</v>
      </c>
      <c r="Z66" s="243">
        <f>SUM(B67:Y67)</f>
        <v>7</v>
      </c>
      <c r="AA66" s="189"/>
      <c r="AB66" s="404"/>
    </row>
    <row r="67" spans="1:50" ht="15.75" thickBot="1" x14ac:dyDescent="0.3">
      <c r="A67" s="245"/>
      <c r="B67" s="2">
        <f>IF(B74="Philadelphia Eagles",1,0)</f>
        <v>1</v>
      </c>
      <c r="C67" s="1">
        <f>IF(C74="Kansas City Chiefs",1,0)</f>
        <v>0</v>
      </c>
      <c r="D67" s="1">
        <f>IF(D74="Minnesota Vikings",1,0)</f>
        <v>1</v>
      </c>
      <c r="E67" s="1">
        <f>IF(E74="Los Angeles Rams",1,0)</f>
        <v>1</v>
      </c>
      <c r="F67" s="1">
        <f>IF(F74="Baltimore Ravens",1,0)</f>
        <v>0</v>
      </c>
      <c r="G67" s="1">
        <f>IF(G74="Cincinnati Bengals",1,0)</f>
        <v>0</v>
      </c>
      <c r="H67" s="1">
        <f>IF(H74="Indianapolis Colts",1,0)</f>
        <v>1</v>
      </c>
      <c r="I67" s="1">
        <f>IF(I74="Pittsburgh Steelers",1,0)</f>
        <v>1</v>
      </c>
      <c r="J67" s="1">
        <f>IF(J74="Houston Texans",1,0)</f>
        <v>0</v>
      </c>
      <c r="K67" s="1">
        <f>IF(K74="Tampa Bay Buccaneers",1,0)</f>
        <v>1</v>
      </c>
      <c r="L67" s="1">
        <f>IF(L74="San Francisco 49ers",1,0)</f>
        <v>1</v>
      </c>
      <c r="M67" s="1">
        <f>IF(M74="Buffalo Bills",1,0)</f>
        <v>0</v>
      </c>
      <c r="N67" s="1">
        <f>IF(N74="New York Jets",1,0)</f>
        <v>0</v>
      </c>
      <c r="O67" s="1">
        <f>IF(O74="Arizona Cardinals",1,0)</f>
        <v>0</v>
      </c>
      <c r="P67" s="1">
        <f>IF(P74="Detroit Lions",1,0)</f>
        <v>0</v>
      </c>
      <c r="Q67" s="1">
        <f>IF(Q74="Kansas City Chiefs",1,0)</f>
        <v>0</v>
      </c>
      <c r="R67" s="1">
        <f>IF(R74="Baltimore Ravens",1,0)</f>
        <v>0</v>
      </c>
      <c r="S67" s="1">
        <f>IF(S74="Tampa Bay Buccaneers",1,0)</f>
        <v>0</v>
      </c>
      <c r="T67" s="1">
        <f>IF(T74="Los Angeles Rams",1,0)</f>
        <v>0</v>
      </c>
      <c r="U67" s="1">
        <f>IF(U74="Tampa Bay Buccaneers",1,0)</f>
        <v>0</v>
      </c>
      <c r="V67" s="1">
        <f>IF(V74="Washington Commanders",1,0)</f>
        <v>0</v>
      </c>
      <c r="W67" s="1">
        <f>IF(W74="Denver Broncos",1,0)</f>
        <v>0</v>
      </c>
      <c r="X67" s="1">
        <f>IF(X74="Jacksonville Jaguars",1,0)</f>
        <v>0</v>
      </c>
      <c r="Y67" s="3">
        <f>IF(Y74="San Francisco 49ers",1,0)</f>
        <v>0</v>
      </c>
      <c r="Z67" s="214"/>
      <c r="AA67" s="213"/>
      <c r="AB67" s="404"/>
    </row>
    <row r="68" spans="1:50" x14ac:dyDescent="0.25">
      <c r="A68" s="244" t="s">
        <v>298</v>
      </c>
      <c r="B68" s="68" t="s">
        <v>39</v>
      </c>
      <c r="C68" s="69" t="s">
        <v>10</v>
      </c>
      <c r="D68" s="69" t="s">
        <v>44</v>
      </c>
      <c r="E68" s="69" t="s">
        <v>15</v>
      </c>
      <c r="F68" s="69" t="s">
        <v>41</v>
      </c>
      <c r="G68" s="69" t="s">
        <v>57</v>
      </c>
      <c r="H68" s="69" t="s">
        <v>16</v>
      </c>
      <c r="I68" s="69" t="s">
        <v>54</v>
      </c>
      <c r="J68" s="69" t="s">
        <v>42</v>
      </c>
      <c r="K68" s="69" t="s">
        <v>11</v>
      </c>
      <c r="L68" s="69" t="s">
        <v>18</v>
      </c>
      <c r="M68" s="69" t="s">
        <v>27</v>
      </c>
      <c r="N68" s="69" t="s">
        <v>19</v>
      </c>
      <c r="O68" s="69" t="s">
        <v>51</v>
      </c>
      <c r="P68" s="69" t="s">
        <v>38</v>
      </c>
      <c r="Q68" s="69" t="s">
        <v>10</v>
      </c>
      <c r="R68" s="69" t="s">
        <v>41</v>
      </c>
      <c r="S68" s="69" t="s">
        <v>11</v>
      </c>
      <c r="T68" s="70" t="s">
        <v>42</v>
      </c>
      <c r="U68" s="69" t="s">
        <v>11</v>
      </c>
      <c r="V68" s="69" t="s">
        <v>49</v>
      </c>
      <c r="W68" s="69" t="s">
        <v>12</v>
      </c>
      <c r="X68" s="69" t="s">
        <v>46</v>
      </c>
      <c r="Y68" s="69" t="s">
        <v>42</v>
      </c>
      <c r="Z68" s="243">
        <f>SUM(B69:Y69)</f>
        <v>10</v>
      </c>
      <c r="AA68" s="189"/>
      <c r="AB68" s="404"/>
    </row>
    <row r="69" spans="1:50" ht="15.75" thickBot="1" x14ac:dyDescent="0.3">
      <c r="A69" s="245"/>
      <c r="B69" s="2">
        <f>IF(B74="Philadelphia Eagles",1,0)</f>
        <v>1</v>
      </c>
      <c r="C69" s="1">
        <f>IF(C74="Kansas City Chiefs",1,0)</f>
        <v>0</v>
      </c>
      <c r="D69" s="1">
        <f>IF(D74="Minnesota Vikings",1,0)</f>
        <v>1</v>
      </c>
      <c r="E69" s="1">
        <f>IF(E74="Los Angeles Rams",1,0)</f>
        <v>1</v>
      </c>
      <c r="F69" s="1">
        <f>IF(F74="Baltimore Ravens",1,0)</f>
        <v>0</v>
      </c>
      <c r="G69" s="1">
        <f>IF(G74="Denver Broncos",1,0)</f>
        <v>1</v>
      </c>
      <c r="H69" s="1">
        <f>IF(H74="Las Vegas Raiders",1,0)</f>
        <v>0</v>
      </c>
      <c r="I69" s="1">
        <f>IF(I74="Pittsburgh Steelers",1,0)</f>
        <v>1</v>
      </c>
      <c r="J69" s="1">
        <f>IF(J74="Seattle Seahawks",1,0)</f>
        <v>1</v>
      </c>
      <c r="K69" s="1">
        <f>IF(K74="Tampa Bay Buccaneers",1,0)</f>
        <v>1</v>
      </c>
      <c r="L69" s="1">
        <f>IF(L74="San Francisco 49ers",1,0)</f>
        <v>1</v>
      </c>
      <c r="M69" s="1">
        <f>IF(M74="Buffalo Bills",1,0)</f>
        <v>0</v>
      </c>
      <c r="N69" s="1">
        <f>IF(N74="New England Patriots",1,0)</f>
        <v>1</v>
      </c>
      <c r="O69" s="1">
        <f>IF(O74="Jacksonville Jaguars",1,0)</f>
        <v>1</v>
      </c>
      <c r="P69" s="1">
        <f>IF(P74="Detroit Lions",1,0)</f>
        <v>0</v>
      </c>
      <c r="Q69" s="1">
        <f>IF(Q74="Kansas City Chiefs",1,0)</f>
        <v>0</v>
      </c>
      <c r="R69" s="1">
        <f>IF(R74="Baltimore Ravens",1,0)</f>
        <v>0</v>
      </c>
      <c r="S69" s="1">
        <f>IF(S74="Tampa Bay Buccaneers",1,0)</f>
        <v>0</v>
      </c>
      <c r="T69" s="1">
        <f>IF(T74="Seattle Seahawks",1,0)</f>
        <v>0</v>
      </c>
      <c r="U69" s="1">
        <f>IF(U74="Tampa Bay Buccaneers",1,0)</f>
        <v>0</v>
      </c>
      <c r="V69" s="1">
        <f>IF(V74="Dallas Cowboys",1,0)</f>
        <v>0</v>
      </c>
      <c r="W69" s="1">
        <f>IF(W74="Los Angeles Chargers",1,0)</f>
        <v>0</v>
      </c>
      <c r="X69" s="1">
        <f>IF(X74="Tennessee Titans",1,0)</f>
        <v>0</v>
      </c>
      <c r="Y69" s="3">
        <f>IF(Y74="Seattle Seahawks",1,0)</f>
        <v>0</v>
      </c>
      <c r="Z69" s="214"/>
      <c r="AA69" s="213"/>
      <c r="AB69" s="404"/>
    </row>
    <row r="70" spans="1:50" x14ac:dyDescent="0.25">
      <c r="A70" s="294" t="s">
        <v>600</v>
      </c>
      <c r="B70" s="68" t="s">
        <v>39</v>
      </c>
      <c r="C70" s="69" t="s">
        <v>12</v>
      </c>
      <c r="D70" s="69" t="s">
        <v>44</v>
      </c>
      <c r="E70" s="69" t="s">
        <v>15</v>
      </c>
      <c r="F70" s="69" t="s">
        <v>41</v>
      </c>
      <c r="G70" s="69" t="s">
        <v>57</v>
      </c>
      <c r="H70" s="69" t="s">
        <v>16</v>
      </c>
      <c r="I70" s="69" t="s">
        <v>54</v>
      </c>
      <c r="J70" s="69" t="s">
        <v>55</v>
      </c>
      <c r="K70" s="69" t="s">
        <v>11</v>
      </c>
      <c r="L70" s="69" t="s">
        <v>18</v>
      </c>
      <c r="M70" s="69" t="s">
        <v>27</v>
      </c>
      <c r="N70" s="69" t="s">
        <v>19</v>
      </c>
      <c r="O70" s="69" t="s">
        <v>48</v>
      </c>
      <c r="P70" s="69" t="s">
        <v>38</v>
      </c>
      <c r="Q70" s="69" t="s">
        <v>10</v>
      </c>
      <c r="R70" s="69" t="s">
        <v>41</v>
      </c>
      <c r="S70" s="69" t="s">
        <v>11</v>
      </c>
      <c r="T70" s="70" t="s">
        <v>42</v>
      </c>
      <c r="U70" s="69" t="s">
        <v>11</v>
      </c>
      <c r="V70" s="69" t="s">
        <v>49</v>
      </c>
      <c r="W70" s="69" t="s">
        <v>12</v>
      </c>
      <c r="X70" s="69" t="s">
        <v>51</v>
      </c>
      <c r="Y70" s="69" t="s">
        <v>18</v>
      </c>
      <c r="Z70" s="243">
        <f>SUM(B71:Y71)</f>
        <v>9</v>
      </c>
      <c r="AA70" s="189"/>
      <c r="AB70" s="404"/>
    </row>
    <row r="71" spans="1:50" ht="15.75" thickBot="1" x14ac:dyDescent="0.3">
      <c r="A71" s="256"/>
      <c r="B71" s="2">
        <f>IF(B74="Philadelphia Eagles",1,0)</f>
        <v>1</v>
      </c>
      <c r="C71" s="1">
        <f>IF(C74="Los Angeles Chargers",1,0)</f>
        <v>1</v>
      </c>
      <c r="D71" s="1">
        <f>IF(D74="Minnesota Vikings",1,0)</f>
        <v>1</v>
      </c>
      <c r="E71" s="1">
        <f>IF(E74="Los Angeles Rams",1,0)</f>
        <v>1</v>
      </c>
      <c r="F71" s="1">
        <f>IF(F74="Baltimore Ravens",1,0)</f>
        <v>0</v>
      </c>
      <c r="G71" s="1">
        <f>IF(G74="Denver Broncos",1,0)</f>
        <v>1</v>
      </c>
      <c r="H71" s="1">
        <f>IF(H74="Las Vegas Raiders",1,0)</f>
        <v>0</v>
      </c>
      <c r="I71" s="1">
        <f>IF(I74="Pittsburgh Steelers",1,0)</f>
        <v>1</v>
      </c>
      <c r="J71" s="1">
        <f>IF(J74="Houston Texans",1,0)</f>
        <v>0</v>
      </c>
      <c r="K71" s="1">
        <f>IF(K74="Tampa Bay Buccaneers",1,0)</f>
        <v>1</v>
      </c>
      <c r="L71" s="1">
        <f>IF(L74="San Francisco 49ers",1,0)</f>
        <v>1</v>
      </c>
      <c r="M71" s="1">
        <f>IF(M74="Buffalo Bills",1,0)</f>
        <v>0</v>
      </c>
      <c r="N71" s="1">
        <f>IF(N74="New England Patriots",1,0)</f>
        <v>1</v>
      </c>
      <c r="O71" s="1">
        <f>IF(O74="Arizona Cardinals",1,0)</f>
        <v>0</v>
      </c>
      <c r="P71" s="1">
        <f>IF(P74="Detroit Lions",1,0)</f>
        <v>0</v>
      </c>
      <c r="Q71" s="1">
        <f>IF(Q74="Kansas City Chiefs",1,0)</f>
        <v>0</v>
      </c>
      <c r="R71" s="1">
        <f>IF(R74="Baltimore Ravens",1,0)</f>
        <v>0</v>
      </c>
      <c r="S71" s="1">
        <f>IF(S74="Tampa Bay Buccaneers",1,0)</f>
        <v>0</v>
      </c>
      <c r="T71" s="1">
        <f>IF(T74="Seattle Seahawks",1,0)</f>
        <v>0</v>
      </c>
      <c r="U71" s="1">
        <f>IF(U74="Tampa Bay Buccaneers",1,0)</f>
        <v>0</v>
      </c>
      <c r="V71" s="1">
        <f>IF(V74="Dallas Cowboys",1,0)</f>
        <v>0</v>
      </c>
      <c r="W71" s="1">
        <f>IF(W74="Los Angeles Chargers",1,0)</f>
        <v>0</v>
      </c>
      <c r="X71" s="1">
        <f>IF(X74="Jacksonville Jaguars",1,0)</f>
        <v>0</v>
      </c>
      <c r="Y71" s="1">
        <f>IF(Y74="San Francisco 49ers",1,0)</f>
        <v>0</v>
      </c>
      <c r="Z71" s="214"/>
      <c r="AA71" s="213"/>
      <c r="AB71" s="404"/>
    </row>
    <row r="72" spans="1:50" x14ac:dyDescent="0.25">
      <c r="A72" s="244" t="s">
        <v>599</v>
      </c>
      <c r="B72" s="68" t="s">
        <v>39</v>
      </c>
      <c r="C72" s="69" t="s">
        <v>12</v>
      </c>
      <c r="D72" s="69" t="s">
        <v>44</v>
      </c>
      <c r="E72" s="69" t="s">
        <v>15</v>
      </c>
      <c r="F72" s="69" t="s">
        <v>41</v>
      </c>
      <c r="G72" s="69" t="s">
        <v>40</v>
      </c>
      <c r="H72" s="69" t="s">
        <v>16</v>
      </c>
      <c r="I72" s="69" t="s">
        <v>54</v>
      </c>
      <c r="J72" s="69" t="s">
        <v>55</v>
      </c>
      <c r="K72" s="69" t="s">
        <v>20</v>
      </c>
      <c r="L72" s="69" t="s">
        <v>18</v>
      </c>
      <c r="M72" s="69" t="s">
        <v>27</v>
      </c>
      <c r="N72" s="69" t="s">
        <v>19</v>
      </c>
      <c r="O72" s="69" t="s">
        <v>48</v>
      </c>
      <c r="P72" s="69" t="s">
        <v>38</v>
      </c>
      <c r="Q72" s="69" t="s">
        <v>10</v>
      </c>
      <c r="R72" s="69" t="s">
        <v>41</v>
      </c>
      <c r="S72" s="69" t="s">
        <v>11</v>
      </c>
      <c r="T72" s="70" t="s">
        <v>15</v>
      </c>
      <c r="U72" s="69" t="s">
        <v>11</v>
      </c>
      <c r="V72" s="69" t="s">
        <v>43</v>
      </c>
      <c r="W72" s="69" t="s">
        <v>57</v>
      </c>
      <c r="X72" s="69" t="s">
        <v>51</v>
      </c>
      <c r="Y72" s="69" t="s">
        <v>18</v>
      </c>
      <c r="Z72" s="243">
        <f>SUM(B73:Y73)</f>
        <v>7</v>
      </c>
      <c r="AA72" s="189"/>
      <c r="AB72" s="404"/>
    </row>
    <row r="73" spans="1:50" ht="15.75" thickBot="1" x14ac:dyDescent="0.3">
      <c r="A73" s="245"/>
      <c r="B73" s="2">
        <f>IF(B74="Philadelphia Eagles",1,0)</f>
        <v>1</v>
      </c>
      <c r="C73" s="1">
        <f>IF(C74="Los Angeles Chargers",1,0)</f>
        <v>1</v>
      </c>
      <c r="D73" s="1">
        <f>IF(D74="Minnesota Vikings",1,0)</f>
        <v>1</v>
      </c>
      <c r="E73" s="1">
        <f>IF(E74="Los Angeles Rams",1,0)</f>
        <v>1</v>
      </c>
      <c r="F73" s="1">
        <f>IF(F74="Baltimore Ravens",1,0)</f>
        <v>0</v>
      </c>
      <c r="G73" s="1">
        <f>IF(G74="Cincinnati Bengals",1,0)</f>
        <v>0</v>
      </c>
      <c r="H73" s="1">
        <f>IF(H74="Las Vegas Raiders",1,0)</f>
        <v>0</v>
      </c>
      <c r="I73" s="1">
        <f>IF(I74="Pittsburgh Steelers",1,0)</f>
        <v>1</v>
      </c>
      <c r="J73" s="1">
        <f>IF(J74="Houston Texans",1,0)</f>
        <v>0</v>
      </c>
      <c r="K73" s="1">
        <f>IF(K74="New Orleans Saints",1,0)</f>
        <v>0</v>
      </c>
      <c r="L73" s="1">
        <f>IF(L74="San Francisco 49ers",1,0)</f>
        <v>1</v>
      </c>
      <c r="M73" s="1">
        <f>IF(M74="Buffalo Bills",1,0)</f>
        <v>0</v>
      </c>
      <c r="N73" s="1">
        <f>IF(N74="New England Patriots",1,0)</f>
        <v>1</v>
      </c>
      <c r="O73" s="1">
        <f>IF(O74="Arizona Cardinals",1,0)</f>
        <v>0</v>
      </c>
      <c r="P73" s="1">
        <f>IF(P74="Detroit Lions",1,0)</f>
        <v>0</v>
      </c>
      <c r="Q73" s="1">
        <f>IF(Q74="Kansas City Chiefs",1,0)</f>
        <v>0</v>
      </c>
      <c r="R73" s="1">
        <f>IF(R74="Baltimore Ravens",1,0)</f>
        <v>0</v>
      </c>
      <c r="S73" s="1">
        <f>IF(S74="Tampa Bay Buccaneers",1,0)</f>
        <v>0</v>
      </c>
      <c r="T73" s="1">
        <f>IF(T74="Los Angeles Rams",1,0)</f>
        <v>0</v>
      </c>
      <c r="U73" s="1">
        <f>IF(U74="Tampa Bay Buccaneers",1,0)</f>
        <v>0</v>
      </c>
      <c r="V73" s="1">
        <f>IF(V74="Washington Commanders",1,0)</f>
        <v>0</v>
      </c>
      <c r="W73" s="1">
        <f>IF(W74="Denver Broncos",1,0)</f>
        <v>0</v>
      </c>
      <c r="X73" s="1">
        <f>IF(X74="Jacksonville Jaguars",1,0)</f>
        <v>0</v>
      </c>
      <c r="Y73" s="3">
        <f>IF(Y74="San Francisco 49ers",1,0)</f>
        <v>0</v>
      </c>
      <c r="Z73" s="214"/>
      <c r="AA73" s="213"/>
      <c r="AB73" s="404"/>
    </row>
    <row r="74" spans="1:50" ht="15.75" thickBot="1" x14ac:dyDescent="0.3">
      <c r="A74" s="73" t="s">
        <v>22</v>
      </c>
      <c r="B74" s="20" t="s">
        <v>89</v>
      </c>
      <c r="C74" s="20" t="s">
        <v>79</v>
      </c>
      <c r="D74" s="20" t="s">
        <v>63</v>
      </c>
      <c r="E74" s="20" t="s">
        <v>85</v>
      </c>
      <c r="F74" s="20" t="s">
        <v>78</v>
      </c>
      <c r="G74" s="20" t="s">
        <v>77</v>
      </c>
      <c r="H74" s="20" t="s">
        <v>66</v>
      </c>
      <c r="I74" s="20" t="s">
        <v>73</v>
      </c>
      <c r="J74" s="20" t="s">
        <v>81</v>
      </c>
      <c r="K74" s="20" t="s">
        <v>91</v>
      </c>
      <c r="L74" s="20" t="s">
        <v>90</v>
      </c>
      <c r="M74" s="20" t="s">
        <v>86</v>
      </c>
      <c r="N74" s="20" t="s">
        <v>76</v>
      </c>
      <c r="O74" s="20" t="s">
        <v>83</v>
      </c>
      <c r="P74" s="20" t="s">
        <v>80</v>
      </c>
      <c r="Q74" s="12" t="s">
        <v>75</v>
      </c>
      <c r="R74" s="20" t="s">
        <v>73</v>
      </c>
      <c r="S74" s="12"/>
      <c r="T74" s="20"/>
      <c r="U74" s="12"/>
      <c r="V74" s="20"/>
      <c r="W74" s="12"/>
      <c r="X74" s="20"/>
      <c r="Y74" s="12"/>
      <c r="Z74" s="47"/>
      <c r="AA74" s="46"/>
      <c r="AB74" s="405"/>
    </row>
    <row r="75" spans="1:50" ht="15.75" thickBot="1" x14ac:dyDescent="0.3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5"/>
      <c r="AO75" s="15"/>
    </row>
    <row r="76" spans="1:50" ht="16.5" customHeight="1" thickTop="1" thickBot="1" x14ac:dyDescent="0.3">
      <c r="A76" s="246" t="s">
        <v>25</v>
      </c>
      <c r="B76" s="249" t="s">
        <v>28</v>
      </c>
      <c r="C76" s="250"/>
      <c r="D76" s="250"/>
      <c r="E76" s="250"/>
      <c r="F76" s="250"/>
      <c r="G76" s="250"/>
      <c r="H76" s="250"/>
      <c r="I76" s="250"/>
      <c r="J76" s="251"/>
      <c r="K76" s="30"/>
      <c r="L76" s="249" t="s">
        <v>29</v>
      </c>
      <c r="M76" s="250"/>
      <c r="N76" s="250"/>
      <c r="O76" s="250"/>
      <c r="P76" s="250"/>
      <c r="Q76" s="250"/>
      <c r="R76" s="251"/>
      <c r="S76" s="11"/>
      <c r="T76" s="26" t="s">
        <v>30</v>
      </c>
      <c r="U76" s="27"/>
      <c r="V76" s="27"/>
      <c r="W76" s="28"/>
      <c r="X76" s="223" t="s">
        <v>33</v>
      </c>
      <c r="Y76" s="252"/>
      <c r="Z76" s="224"/>
      <c r="AA76" s="11"/>
      <c r="AB76" s="11"/>
      <c r="AC76" s="223" t="s">
        <v>35</v>
      </c>
      <c r="AD76" s="224"/>
      <c r="AE76" s="223" t="s">
        <v>34</v>
      </c>
      <c r="AF76" s="229"/>
      <c r="AG76" s="232" t="s">
        <v>31</v>
      </c>
      <c r="AH76" s="233"/>
      <c r="AI76" s="234"/>
      <c r="AJ76" s="241" t="s">
        <v>36</v>
      </c>
      <c r="AK76" s="242"/>
      <c r="AL76" s="242"/>
      <c r="AM76" s="242"/>
      <c r="AN76" s="242"/>
      <c r="AO76" s="242"/>
    </row>
    <row r="77" spans="1:50" ht="15" customHeight="1" x14ac:dyDescent="0.25">
      <c r="A77" s="247"/>
      <c r="B77" s="257" t="s">
        <v>3</v>
      </c>
      <c r="C77" s="258"/>
      <c r="D77" s="258"/>
      <c r="E77" s="258"/>
      <c r="F77" s="35"/>
      <c r="G77" s="259" t="s">
        <v>4</v>
      </c>
      <c r="H77" s="258"/>
      <c r="I77" s="258"/>
      <c r="J77" s="260"/>
      <c r="K77" s="32"/>
      <c r="L77" s="261" t="s">
        <v>3</v>
      </c>
      <c r="M77" s="262"/>
      <c r="N77" s="262"/>
      <c r="O77" s="35"/>
      <c r="P77" s="265" t="s">
        <v>4</v>
      </c>
      <c r="Q77" s="262"/>
      <c r="R77" s="266"/>
      <c r="S77" s="30"/>
      <c r="T77" s="261" t="s">
        <v>3</v>
      </c>
      <c r="U77" s="269"/>
      <c r="V77" s="265" t="s">
        <v>4</v>
      </c>
      <c r="W77" s="266"/>
      <c r="X77" s="225"/>
      <c r="Y77" s="253"/>
      <c r="Z77" s="226"/>
      <c r="AA77" s="11"/>
      <c r="AB77" s="11"/>
      <c r="AC77" s="225"/>
      <c r="AD77" s="226"/>
      <c r="AE77" s="225"/>
      <c r="AF77" s="230"/>
      <c r="AG77" s="235"/>
      <c r="AH77" s="236"/>
      <c r="AI77" s="237"/>
      <c r="AJ77" s="241"/>
      <c r="AK77" s="242"/>
      <c r="AL77" s="242"/>
      <c r="AM77" s="242"/>
      <c r="AN77" s="242"/>
      <c r="AO77" s="242"/>
      <c r="AP77" s="222" t="s">
        <v>37</v>
      </c>
      <c r="AQ77" s="222"/>
      <c r="AR77" s="222"/>
      <c r="AS77" s="222"/>
      <c r="AT77" s="222"/>
      <c r="AU77" s="222"/>
      <c r="AV77" s="222"/>
      <c r="AW77" s="222"/>
      <c r="AX77" s="222"/>
    </row>
    <row r="78" spans="1:50" ht="15.75" customHeight="1" thickBot="1" x14ac:dyDescent="0.3">
      <c r="A78" s="248"/>
      <c r="B78" s="18" t="s">
        <v>6</v>
      </c>
      <c r="C78" s="33" t="s">
        <v>5</v>
      </c>
      <c r="D78" s="19" t="s">
        <v>7</v>
      </c>
      <c r="E78" s="19" t="s">
        <v>8</v>
      </c>
      <c r="F78" s="36"/>
      <c r="G78" s="19" t="s">
        <v>6</v>
      </c>
      <c r="H78" s="19" t="s">
        <v>5</v>
      </c>
      <c r="I78" s="19" t="s">
        <v>7</v>
      </c>
      <c r="J78" s="19" t="s">
        <v>8</v>
      </c>
      <c r="K78" s="32"/>
      <c r="L78" s="263"/>
      <c r="M78" s="264"/>
      <c r="N78" s="264"/>
      <c r="O78" s="34"/>
      <c r="P78" s="267"/>
      <c r="Q78" s="264"/>
      <c r="R78" s="268"/>
      <c r="S78" s="32"/>
      <c r="T78" s="263"/>
      <c r="U78" s="270"/>
      <c r="V78" s="267"/>
      <c r="W78" s="268"/>
      <c r="X78" s="227"/>
      <c r="Y78" s="254"/>
      <c r="Z78" s="228"/>
      <c r="AA78" s="16"/>
      <c r="AB78" s="406"/>
      <c r="AC78" s="227"/>
      <c r="AD78" s="228"/>
      <c r="AE78" s="227"/>
      <c r="AF78" s="231"/>
      <c r="AG78" s="238"/>
      <c r="AH78" s="239"/>
      <c r="AI78" s="240"/>
      <c r="AJ78" s="241"/>
      <c r="AK78" s="242"/>
      <c r="AL78" s="242"/>
      <c r="AM78" s="242"/>
      <c r="AN78" s="242"/>
      <c r="AO78" s="242"/>
    </row>
    <row r="79" spans="1:50" x14ac:dyDescent="0.25">
      <c r="A79" s="84" t="s">
        <v>295</v>
      </c>
      <c r="B79" s="50" t="s">
        <v>27</v>
      </c>
      <c r="C79" s="51" t="s">
        <v>41</v>
      </c>
      <c r="D79" s="51" t="s">
        <v>46</v>
      </c>
      <c r="E79" s="51" t="s">
        <v>16</v>
      </c>
      <c r="F79" s="52"/>
      <c r="G79" s="51" t="s">
        <v>39</v>
      </c>
      <c r="H79" s="51" t="s">
        <v>38</v>
      </c>
      <c r="I79" s="51" t="s">
        <v>11</v>
      </c>
      <c r="J79" s="53" t="s">
        <v>18</v>
      </c>
      <c r="K79" s="11"/>
      <c r="L79" s="50" t="s">
        <v>57</v>
      </c>
      <c r="M79" s="51" t="s">
        <v>40</v>
      </c>
      <c r="N79" s="51" t="s">
        <v>12</v>
      </c>
      <c r="O79" s="52"/>
      <c r="P79" s="51" t="s">
        <v>38</v>
      </c>
      <c r="Q79" s="51" t="s">
        <v>15</v>
      </c>
      <c r="R79" s="53" t="s">
        <v>49</v>
      </c>
      <c r="S79" s="11"/>
      <c r="T79" s="289" t="s">
        <v>10</v>
      </c>
      <c r="U79" s="290"/>
      <c r="V79" s="291" t="s">
        <v>39</v>
      </c>
      <c r="W79" s="292"/>
      <c r="X79" s="289" t="s">
        <v>10</v>
      </c>
      <c r="Y79" s="293"/>
      <c r="Z79" s="292"/>
      <c r="AA79" s="55"/>
      <c r="AB79" s="408"/>
      <c r="AC79" s="188">
        <f>SUM(B80:Z80)</f>
        <v>0</v>
      </c>
      <c r="AD79" s="211"/>
      <c r="AE79" s="188">
        <f>Z54</f>
        <v>5</v>
      </c>
      <c r="AF79" s="189"/>
      <c r="AG79" s="191">
        <f>SUM(AC79,AE79)</f>
        <v>5</v>
      </c>
      <c r="AH79" s="192"/>
      <c r="AI79" s="193"/>
      <c r="AK79" s="197" t="e">
        <f>SUM(#REF!,AG79)</f>
        <v>#REF!</v>
      </c>
      <c r="AL79" s="197"/>
      <c r="AM79" s="197"/>
      <c r="AN79" s="197"/>
    </row>
    <row r="80" spans="1:50" ht="15.75" thickBot="1" x14ac:dyDescent="0.3">
      <c r="A80" s="81"/>
      <c r="B80" s="50"/>
      <c r="C80" s="51"/>
      <c r="D80" s="51" t="s">
        <v>676</v>
      </c>
      <c r="E80" s="51" t="s">
        <v>676</v>
      </c>
      <c r="F80" s="57"/>
      <c r="G80" s="51"/>
      <c r="H80" s="51"/>
      <c r="I80" s="51"/>
      <c r="J80" s="53"/>
      <c r="K80" s="32"/>
      <c r="L80" s="50"/>
      <c r="M80" s="51"/>
      <c r="N80" s="51"/>
      <c r="O80" s="52"/>
      <c r="P80" s="51"/>
      <c r="Q80" s="51"/>
      <c r="R80" s="53"/>
      <c r="S80" s="30"/>
      <c r="T80" s="198"/>
      <c r="U80" s="199"/>
      <c r="V80" s="200"/>
      <c r="W80" s="201"/>
      <c r="X80" s="217"/>
      <c r="Y80" s="218"/>
      <c r="Z80" s="201"/>
      <c r="AC80" s="212"/>
      <c r="AD80" s="221"/>
      <c r="AE80" s="212"/>
      <c r="AF80" s="213"/>
      <c r="AG80" s="214"/>
      <c r="AH80" s="215"/>
      <c r="AI80" s="213"/>
      <c r="AK80" s="197"/>
      <c r="AL80" s="197"/>
      <c r="AM80" s="197"/>
      <c r="AN80" s="197"/>
    </row>
    <row r="81" spans="1:50" x14ac:dyDescent="0.25">
      <c r="A81" s="84" t="s">
        <v>565</v>
      </c>
      <c r="B81" s="58" t="s">
        <v>45</v>
      </c>
      <c r="C81" s="57" t="s">
        <v>41</v>
      </c>
      <c r="D81" s="57" t="s">
        <v>55</v>
      </c>
      <c r="E81" s="57" t="s">
        <v>10</v>
      </c>
      <c r="F81" s="52"/>
      <c r="G81" s="57" t="s">
        <v>39</v>
      </c>
      <c r="H81" s="57" t="s">
        <v>9</v>
      </c>
      <c r="I81" s="57" t="s">
        <v>11</v>
      </c>
      <c r="J81" s="59" t="s">
        <v>18</v>
      </c>
      <c r="K81" s="60"/>
      <c r="L81" s="58" t="s">
        <v>27</v>
      </c>
      <c r="M81" s="57" t="s">
        <v>12</v>
      </c>
      <c r="N81" s="57" t="s">
        <v>54</v>
      </c>
      <c r="O81" s="52"/>
      <c r="P81" s="57" t="s">
        <v>38</v>
      </c>
      <c r="Q81" s="57" t="s">
        <v>15</v>
      </c>
      <c r="R81" s="59" t="s">
        <v>42</v>
      </c>
      <c r="S81" s="60"/>
      <c r="T81" s="206" t="s">
        <v>10</v>
      </c>
      <c r="U81" s="207"/>
      <c r="V81" s="208" t="s">
        <v>18</v>
      </c>
      <c r="W81" s="209"/>
      <c r="X81" s="206" t="s">
        <v>18</v>
      </c>
      <c r="Y81" s="210"/>
      <c r="Z81" s="209"/>
      <c r="AA81" s="11"/>
      <c r="AB81" s="11"/>
      <c r="AC81" s="282">
        <f>SUM(B82:Z82)</f>
        <v>0</v>
      </c>
      <c r="AD81" s="283"/>
      <c r="AE81" s="188">
        <f>Z56</f>
        <v>8</v>
      </c>
      <c r="AF81" s="189"/>
      <c r="AG81" s="191">
        <f t="shared" ref="AG81" si="9">SUM(AC81,AE81)</f>
        <v>8</v>
      </c>
      <c r="AH81" s="192"/>
      <c r="AI81" s="193"/>
      <c r="AK81" s="197" t="e">
        <f>SUM(#REF!,AG81)</f>
        <v>#REF!</v>
      </c>
      <c r="AL81" s="197"/>
      <c r="AM81" s="197"/>
      <c r="AN81" s="197"/>
    </row>
    <row r="82" spans="1:50" ht="15.75" thickBot="1" x14ac:dyDescent="0.3">
      <c r="A82" s="81"/>
      <c r="B82" s="50"/>
      <c r="C82" s="51"/>
      <c r="D82" s="51"/>
      <c r="E82" s="51"/>
      <c r="F82" s="52"/>
      <c r="G82" s="51"/>
      <c r="H82" s="51"/>
      <c r="I82" s="51"/>
      <c r="J82" s="53"/>
      <c r="K82" s="60"/>
      <c r="L82" s="50"/>
      <c r="M82" s="51"/>
      <c r="N82" s="51"/>
      <c r="O82" s="52"/>
      <c r="P82" s="51"/>
      <c r="Q82" s="51"/>
      <c r="R82" s="53"/>
      <c r="S82" s="60"/>
      <c r="T82" s="198"/>
      <c r="U82" s="199"/>
      <c r="V82" s="200"/>
      <c r="W82" s="201"/>
      <c r="X82" s="198"/>
      <c r="Y82" s="202"/>
      <c r="Z82" s="203"/>
      <c r="AA82" s="11"/>
      <c r="AB82" s="11"/>
      <c r="AC82" s="212"/>
      <c r="AD82" s="221"/>
      <c r="AE82" s="212"/>
      <c r="AF82" s="213"/>
      <c r="AG82" s="214"/>
      <c r="AH82" s="215"/>
      <c r="AI82" s="213"/>
      <c r="AK82" s="197"/>
      <c r="AL82" s="197"/>
      <c r="AM82" s="197"/>
      <c r="AN82" s="197"/>
    </row>
    <row r="83" spans="1:50" x14ac:dyDescent="0.25">
      <c r="A83" s="80" t="s">
        <v>595</v>
      </c>
      <c r="B83" s="50" t="s">
        <v>27</v>
      </c>
      <c r="C83" s="51" t="s">
        <v>41</v>
      </c>
      <c r="D83" s="51" t="s">
        <v>55</v>
      </c>
      <c r="E83" s="51" t="s">
        <v>10</v>
      </c>
      <c r="F83" s="52"/>
      <c r="G83" s="51" t="s">
        <v>39</v>
      </c>
      <c r="H83" s="51" t="s">
        <v>38</v>
      </c>
      <c r="I83" s="51" t="s">
        <v>11</v>
      </c>
      <c r="J83" s="53" t="s">
        <v>18</v>
      </c>
      <c r="K83" s="60"/>
      <c r="L83" s="50" t="s">
        <v>15</v>
      </c>
      <c r="M83" s="51" t="s">
        <v>12</v>
      </c>
      <c r="N83" s="51" t="s">
        <v>54</v>
      </c>
      <c r="O83" s="52"/>
      <c r="P83" s="51" t="s">
        <v>15</v>
      </c>
      <c r="Q83" s="51" t="s">
        <v>9</v>
      </c>
      <c r="R83" s="53" t="s">
        <v>44</v>
      </c>
      <c r="S83" s="60"/>
      <c r="T83" s="206" t="s">
        <v>27</v>
      </c>
      <c r="U83" s="207"/>
      <c r="V83" s="208" t="s">
        <v>39</v>
      </c>
      <c r="W83" s="209"/>
      <c r="X83" s="206" t="s">
        <v>27</v>
      </c>
      <c r="Y83" s="210"/>
      <c r="Z83" s="209"/>
      <c r="AA83" s="55"/>
      <c r="AB83" s="408"/>
      <c r="AC83" s="188">
        <f>SUM(B84:Z84)</f>
        <v>0</v>
      </c>
      <c r="AD83" s="211"/>
      <c r="AE83" s="188">
        <f>Z58</f>
        <v>7</v>
      </c>
      <c r="AF83" s="189"/>
      <c r="AG83" s="191">
        <f t="shared" ref="AG83" si="10">SUM(AC83,AE83)</f>
        <v>7</v>
      </c>
      <c r="AH83" s="192"/>
      <c r="AI83" s="193"/>
      <c r="AK83" s="197" t="e">
        <f>SUM(#REF!,AG83)</f>
        <v>#REF!</v>
      </c>
      <c r="AL83" s="197"/>
      <c r="AM83" s="197"/>
      <c r="AN83" s="197"/>
      <c r="AP83" s="216"/>
      <c r="AQ83" s="216"/>
      <c r="AR83" s="216"/>
      <c r="AS83" s="216"/>
      <c r="AT83" s="216"/>
      <c r="AU83" s="216"/>
      <c r="AV83" s="216"/>
      <c r="AW83" s="216"/>
      <c r="AX83" s="216"/>
    </row>
    <row r="84" spans="1:50" ht="15.75" thickBot="1" x14ac:dyDescent="0.3">
      <c r="A84" s="81"/>
      <c r="B84" s="50"/>
      <c r="C84" s="51"/>
      <c r="D84" s="51"/>
      <c r="E84" s="51"/>
      <c r="F84" s="52"/>
      <c r="G84" s="51"/>
      <c r="H84" s="51"/>
      <c r="I84" s="51"/>
      <c r="J84" s="53"/>
      <c r="K84" s="60"/>
      <c r="L84" s="50"/>
      <c r="M84" s="51"/>
      <c r="N84" s="51"/>
      <c r="O84" s="52"/>
      <c r="P84" s="51"/>
      <c r="Q84" s="51"/>
      <c r="R84" s="53"/>
      <c r="S84" s="60"/>
      <c r="T84" s="198"/>
      <c r="U84" s="199"/>
      <c r="V84" s="200"/>
      <c r="W84" s="201"/>
      <c r="X84" s="217"/>
      <c r="Y84" s="218"/>
      <c r="Z84" s="201"/>
      <c r="AA84" s="55"/>
      <c r="AB84" s="408"/>
      <c r="AC84" s="212"/>
      <c r="AD84" s="221"/>
      <c r="AE84" s="212"/>
      <c r="AF84" s="213"/>
      <c r="AG84" s="214"/>
      <c r="AH84" s="215"/>
      <c r="AI84" s="213"/>
      <c r="AK84" s="197"/>
      <c r="AL84" s="197"/>
      <c r="AM84" s="197"/>
      <c r="AN84" s="197"/>
      <c r="AP84" s="216"/>
      <c r="AQ84" s="216"/>
      <c r="AR84" s="216"/>
      <c r="AS84" s="216"/>
      <c r="AT84" s="216"/>
      <c r="AU84" s="216"/>
      <c r="AV84" s="216"/>
      <c r="AW84" s="216"/>
      <c r="AX84" s="216"/>
    </row>
    <row r="85" spans="1:50" x14ac:dyDescent="0.25">
      <c r="A85" s="80" t="s">
        <v>596</v>
      </c>
      <c r="B85" s="50" t="s">
        <v>27</v>
      </c>
      <c r="C85" s="51" t="s">
        <v>40</v>
      </c>
      <c r="D85" s="51" t="s">
        <v>51</v>
      </c>
      <c r="E85" s="51" t="s">
        <v>10</v>
      </c>
      <c r="F85" s="52"/>
      <c r="G85" s="51" t="s">
        <v>39</v>
      </c>
      <c r="H85" s="51" t="s">
        <v>38</v>
      </c>
      <c r="I85" s="51" t="s">
        <v>11</v>
      </c>
      <c r="J85" s="53" t="s">
        <v>42</v>
      </c>
      <c r="K85" s="60"/>
      <c r="L85" s="50" t="s">
        <v>54</v>
      </c>
      <c r="M85" s="51" t="s">
        <v>12</v>
      </c>
      <c r="N85" s="51" t="s">
        <v>41</v>
      </c>
      <c r="O85" s="52"/>
      <c r="P85" s="51" t="s">
        <v>44</v>
      </c>
      <c r="Q85" s="51" t="s">
        <v>43</v>
      </c>
      <c r="R85" s="53" t="s">
        <v>18</v>
      </c>
      <c r="S85" s="60"/>
      <c r="T85" s="206" t="s">
        <v>27</v>
      </c>
      <c r="U85" s="207"/>
      <c r="V85" s="208" t="s">
        <v>38</v>
      </c>
      <c r="W85" s="209"/>
      <c r="X85" s="206" t="s">
        <v>27</v>
      </c>
      <c r="Y85" s="210"/>
      <c r="Z85" s="209"/>
      <c r="AA85" s="55"/>
      <c r="AB85" s="408"/>
      <c r="AC85" s="282">
        <f>SUM(B86:Z86)</f>
        <v>0</v>
      </c>
      <c r="AD85" s="283"/>
      <c r="AE85" s="188">
        <f>Z60</f>
        <v>13</v>
      </c>
      <c r="AF85" s="189"/>
      <c r="AG85" s="191">
        <f t="shared" ref="AG85" si="11">SUM(AC85,AE85)</f>
        <v>13</v>
      </c>
      <c r="AH85" s="192"/>
      <c r="AI85" s="193"/>
      <c r="AK85" s="197" t="e">
        <f>SUM(#REF!,AG85)</f>
        <v>#REF!</v>
      </c>
      <c r="AL85" s="197"/>
      <c r="AM85" s="197"/>
      <c r="AN85" s="197"/>
    </row>
    <row r="86" spans="1:50" ht="15.75" thickBot="1" x14ac:dyDescent="0.3">
      <c r="A86" s="81"/>
      <c r="B86" s="50"/>
      <c r="C86" s="51"/>
      <c r="D86" s="51"/>
      <c r="E86" s="51"/>
      <c r="F86" s="52"/>
      <c r="G86" s="51"/>
      <c r="H86" s="51"/>
      <c r="I86" s="51"/>
      <c r="J86" s="53"/>
      <c r="K86" s="60"/>
      <c r="L86" s="50"/>
      <c r="M86" s="51"/>
      <c r="N86" s="51"/>
      <c r="O86" s="52"/>
      <c r="P86" s="51"/>
      <c r="Q86" s="51" t="s">
        <v>676</v>
      </c>
      <c r="R86" s="53"/>
      <c r="S86" s="60"/>
      <c r="T86" s="198"/>
      <c r="U86" s="199"/>
      <c r="V86" s="200"/>
      <c r="W86" s="201"/>
      <c r="X86" s="198"/>
      <c r="Y86" s="202"/>
      <c r="Z86" s="203"/>
      <c r="AA86" s="55"/>
      <c r="AB86" s="408"/>
      <c r="AC86" s="212"/>
      <c r="AD86" s="221"/>
      <c r="AE86" s="212"/>
      <c r="AF86" s="213"/>
      <c r="AG86" s="214"/>
      <c r="AH86" s="215"/>
      <c r="AI86" s="213"/>
      <c r="AK86" s="197"/>
      <c r="AL86" s="197"/>
      <c r="AM86" s="197"/>
      <c r="AN86" s="197"/>
    </row>
    <row r="87" spans="1:50" x14ac:dyDescent="0.25">
      <c r="A87" s="80" t="s">
        <v>297</v>
      </c>
      <c r="B87" s="50" t="s">
        <v>27</v>
      </c>
      <c r="C87" s="51" t="s">
        <v>41</v>
      </c>
      <c r="D87" s="51" t="s">
        <v>55</v>
      </c>
      <c r="E87" s="51" t="s">
        <v>10</v>
      </c>
      <c r="F87" s="52"/>
      <c r="G87" s="51" t="s">
        <v>39</v>
      </c>
      <c r="H87" s="51" t="s">
        <v>38</v>
      </c>
      <c r="I87" s="51" t="s">
        <v>11</v>
      </c>
      <c r="J87" s="53" t="s">
        <v>18</v>
      </c>
      <c r="K87" s="60"/>
      <c r="L87" s="50" t="s">
        <v>54</v>
      </c>
      <c r="M87" s="51" t="s">
        <v>57</v>
      </c>
      <c r="N87" s="51" t="s">
        <v>12</v>
      </c>
      <c r="O87" s="52"/>
      <c r="P87" s="51" t="s">
        <v>43</v>
      </c>
      <c r="Q87" s="51" t="s">
        <v>9</v>
      </c>
      <c r="R87" s="53" t="s">
        <v>15</v>
      </c>
      <c r="S87" s="60"/>
      <c r="T87" s="206" t="s">
        <v>41</v>
      </c>
      <c r="U87" s="207"/>
      <c r="V87" s="208" t="s">
        <v>39</v>
      </c>
      <c r="W87" s="209"/>
      <c r="X87" s="206" t="s">
        <v>41</v>
      </c>
      <c r="Y87" s="210"/>
      <c r="Z87" s="209"/>
      <c r="AA87" s="55"/>
      <c r="AB87" s="408"/>
      <c r="AC87" s="188">
        <f>SUM(B88:Z88)</f>
        <v>0</v>
      </c>
      <c r="AD87" s="211"/>
      <c r="AE87" s="188">
        <f>Z62</f>
        <v>8</v>
      </c>
      <c r="AF87" s="189"/>
      <c r="AG87" s="191">
        <f t="shared" ref="AG87" si="12">SUM(AC87,AE87)</f>
        <v>8</v>
      </c>
      <c r="AH87" s="192"/>
      <c r="AI87" s="193"/>
      <c r="AK87" s="197" t="e">
        <f>SUM(#REF!,AG87)</f>
        <v>#REF!</v>
      </c>
      <c r="AL87" s="197"/>
      <c r="AM87" s="197"/>
      <c r="AN87" s="197"/>
      <c r="AP87" s="216"/>
      <c r="AQ87" s="216"/>
      <c r="AR87" s="216"/>
      <c r="AS87" s="216"/>
      <c r="AT87" s="216"/>
      <c r="AU87" s="216"/>
      <c r="AV87" s="216"/>
      <c r="AW87" s="216"/>
      <c r="AX87" s="216"/>
    </row>
    <row r="88" spans="1:50" ht="15.75" thickBot="1" x14ac:dyDescent="0.3">
      <c r="A88" s="81"/>
      <c r="B88" s="50"/>
      <c r="C88" s="51"/>
      <c r="D88" s="51"/>
      <c r="E88" s="51"/>
      <c r="F88" s="52"/>
      <c r="G88" s="51"/>
      <c r="H88" s="51"/>
      <c r="I88" s="51"/>
      <c r="J88" s="53"/>
      <c r="K88" s="60"/>
      <c r="L88" s="50"/>
      <c r="M88" s="51"/>
      <c r="N88" s="51"/>
      <c r="O88" s="52"/>
      <c r="P88" s="51" t="s">
        <v>676</v>
      </c>
      <c r="Q88" s="51"/>
      <c r="R88" s="53"/>
      <c r="S88" s="60"/>
      <c r="T88" s="198"/>
      <c r="U88" s="199"/>
      <c r="V88" s="200"/>
      <c r="W88" s="201"/>
      <c r="X88" s="198"/>
      <c r="Y88" s="202"/>
      <c r="Z88" s="203"/>
      <c r="AA88" s="55"/>
      <c r="AB88" s="408"/>
      <c r="AC88" s="212"/>
      <c r="AD88" s="221"/>
      <c r="AE88" s="212"/>
      <c r="AF88" s="213"/>
      <c r="AG88" s="214"/>
      <c r="AH88" s="215"/>
      <c r="AI88" s="213"/>
      <c r="AK88" s="197"/>
      <c r="AL88" s="197"/>
      <c r="AM88" s="197"/>
      <c r="AN88" s="197"/>
      <c r="AP88" s="216"/>
      <c r="AQ88" s="216"/>
      <c r="AR88" s="216"/>
      <c r="AS88" s="216"/>
      <c r="AT88" s="216"/>
      <c r="AU88" s="216"/>
      <c r="AV88" s="216"/>
      <c r="AW88" s="216"/>
      <c r="AX88" s="216"/>
    </row>
    <row r="89" spans="1:50" x14ac:dyDescent="0.25">
      <c r="A89" s="78" t="s">
        <v>307</v>
      </c>
      <c r="B89" s="50" t="s">
        <v>27</v>
      </c>
      <c r="C89" s="51" t="s">
        <v>41</v>
      </c>
      <c r="D89" s="51" t="s">
        <v>55</v>
      </c>
      <c r="E89" s="51" t="s">
        <v>57</v>
      </c>
      <c r="F89" s="52"/>
      <c r="G89" s="51" t="s">
        <v>39</v>
      </c>
      <c r="H89" s="51" t="s">
        <v>9</v>
      </c>
      <c r="I89" s="51" t="s">
        <v>11</v>
      </c>
      <c r="J89" s="53" t="s">
        <v>15</v>
      </c>
      <c r="K89" s="60"/>
      <c r="L89" s="50" t="s">
        <v>40</v>
      </c>
      <c r="M89" s="51" t="s">
        <v>54</v>
      </c>
      <c r="N89" s="51" t="s">
        <v>10</v>
      </c>
      <c r="O89" s="52"/>
      <c r="P89" s="51" t="s">
        <v>43</v>
      </c>
      <c r="Q89" s="51" t="s">
        <v>38</v>
      </c>
      <c r="R89" s="53" t="s">
        <v>18</v>
      </c>
      <c r="S89" s="60"/>
      <c r="T89" s="206" t="s">
        <v>27</v>
      </c>
      <c r="U89" s="207"/>
      <c r="V89" s="208" t="s">
        <v>15</v>
      </c>
      <c r="W89" s="209"/>
      <c r="X89" s="206" t="s">
        <v>27</v>
      </c>
      <c r="Y89" s="210"/>
      <c r="Z89" s="209"/>
      <c r="AA89" s="55"/>
      <c r="AB89" s="408"/>
      <c r="AC89" s="282">
        <f>SUM(B90:Z90)</f>
        <v>0</v>
      </c>
      <c r="AD89" s="283"/>
      <c r="AE89" s="188">
        <f>Z64</f>
        <v>9</v>
      </c>
      <c r="AF89" s="189"/>
      <c r="AG89" s="191">
        <f t="shared" ref="AG89" si="13">SUM(AC89,AE89)</f>
        <v>9</v>
      </c>
      <c r="AH89" s="192"/>
      <c r="AI89" s="193"/>
      <c r="AK89" s="197" t="e">
        <f>SUM(#REF!,AG89)</f>
        <v>#REF!</v>
      </c>
      <c r="AL89" s="197"/>
      <c r="AM89" s="197"/>
      <c r="AN89" s="197"/>
      <c r="AP89" s="216"/>
      <c r="AQ89" s="216"/>
      <c r="AR89" s="216"/>
      <c r="AS89" s="216"/>
      <c r="AT89" s="216"/>
      <c r="AU89" s="216"/>
      <c r="AV89" s="216"/>
      <c r="AW89" s="216"/>
      <c r="AX89" s="216"/>
    </row>
    <row r="90" spans="1:50" ht="15.75" thickBot="1" x14ac:dyDescent="0.3">
      <c r="A90" s="79"/>
      <c r="B90" s="50"/>
      <c r="C90" s="51"/>
      <c r="D90" s="51"/>
      <c r="E90" s="51"/>
      <c r="F90" s="52"/>
      <c r="G90" s="51"/>
      <c r="H90" s="51"/>
      <c r="I90" s="51"/>
      <c r="J90" s="53"/>
      <c r="K90" s="60"/>
      <c r="L90" s="50"/>
      <c r="M90" s="51"/>
      <c r="N90" s="51"/>
      <c r="O90" s="52"/>
      <c r="P90" s="51" t="s">
        <v>676</v>
      </c>
      <c r="Q90" s="51"/>
      <c r="R90" s="53"/>
      <c r="S90" s="60"/>
      <c r="T90" s="198"/>
      <c r="U90" s="199"/>
      <c r="V90" s="200"/>
      <c r="W90" s="201"/>
      <c r="X90" s="198"/>
      <c r="Y90" s="202"/>
      <c r="Z90" s="203"/>
      <c r="AA90" s="55"/>
      <c r="AB90" s="408"/>
      <c r="AC90" s="212"/>
      <c r="AD90" s="221"/>
      <c r="AE90" s="212"/>
      <c r="AF90" s="213"/>
      <c r="AG90" s="214"/>
      <c r="AH90" s="215"/>
      <c r="AI90" s="213"/>
      <c r="AK90" s="197"/>
      <c r="AL90" s="197"/>
      <c r="AM90" s="197"/>
      <c r="AN90" s="197"/>
      <c r="AP90" s="216"/>
      <c r="AQ90" s="216"/>
      <c r="AR90" s="216"/>
      <c r="AS90" s="216"/>
      <c r="AT90" s="216"/>
      <c r="AU90" s="216"/>
      <c r="AV90" s="216"/>
      <c r="AW90" s="216"/>
      <c r="AX90" s="216"/>
    </row>
    <row r="91" spans="1:50" x14ac:dyDescent="0.25">
      <c r="A91" s="204" t="s">
        <v>306</v>
      </c>
      <c r="B91" s="50" t="s">
        <v>27</v>
      </c>
      <c r="C91" s="51" t="s">
        <v>41</v>
      </c>
      <c r="D91" s="51" t="s">
        <v>55</v>
      </c>
      <c r="E91" s="51" t="s">
        <v>10</v>
      </c>
      <c r="F91" s="52"/>
      <c r="G91" s="51" t="s">
        <v>39</v>
      </c>
      <c r="H91" s="51" t="s">
        <v>38</v>
      </c>
      <c r="I91" s="51" t="s">
        <v>11</v>
      </c>
      <c r="J91" s="53" t="s">
        <v>18</v>
      </c>
      <c r="K91" s="60"/>
      <c r="L91" s="50" t="s">
        <v>40</v>
      </c>
      <c r="M91" s="51" t="s">
        <v>51</v>
      </c>
      <c r="N91" s="51" t="s">
        <v>57</v>
      </c>
      <c r="O91" s="52"/>
      <c r="P91" s="51" t="s">
        <v>50</v>
      </c>
      <c r="Q91" s="51" t="s">
        <v>15</v>
      </c>
      <c r="R91" s="53" t="s">
        <v>9</v>
      </c>
      <c r="S91" s="60"/>
      <c r="T91" s="206" t="s">
        <v>10</v>
      </c>
      <c r="U91" s="207"/>
      <c r="V91" s="208" t="s">
        <v>18</v>
      </c>
      <c r="W91" s="209"/>
      <c r="X91" s="206" t="s">
        <v>18</v>
      </c>
      <c r="Y91" s="210"/>
      <c r="Z91" s="209"/>
      <c r="AA91" s="55"/>
      <c r="AB91" s="408"/>
      <c r="AC91" s="188">
        <f>SUM(B92:Z92)</f>
        <v>0</v>
      </c>
      <c r="AD91" s="211"/>
      <c r="AE91" s="188">
        <f>Z66</f>
        <v>7</v>
      </c>
      <c r="AF91" s="189"/>
      <c r="AG91" s="191">
        <f t="shared" ref="AG91" si="14">SUM(AC91,AE91)</f>
        <v>7</v>
      </c>
      <c r="AH91" s="192"/>
      <c r="AI91" s="193"/>
      <c r="AK91" s="197" t="e">
        <f>SUM(#REF!,AG91)</f>
        <v>#REF!</v>
      </c>
      <c r="AL91" s="197"/>
      <c r="AM91" s="197"/>
      <c r="AN91" s="197"/>
      <c r="AP91" s="216"/>
      <c r="AQ91" s="216"/>
      <c r="AR91" s="216"/>
      <c r="AS91" s="216"/>
      <c r="AT91" s="216"/>
      <c r="AU91" s="216"/>
      <c r="AV91" s="216"/>
      <c r="AW91" s="216"/>
      <c r="AX91" s="216"/>
    </row>
    <row r="92" spans="1:50" ht="15.75" thickBot="1" x14ac:dyDescent="0.3">
      <c r="A92" s="205"/>
      <c r="B92" s="50"/>
      <c r="C92" s="51"/>
      <c r="D92" s="51"/>
      <c r="E92" s="51"/>
      <c r="F92" s="52"/>
      <c r="G92" s="51"/>
      <c r="H92" s="51"/>
      <c r="I92" s="51"/>
      <c r="J92" s="53"/>
      <c r="K92" s="60"/>
      <c r="L92" s="50"/>
      <c r="M92" s="51"/>
      <c r="N92" s="51"/>
      <c r="O92" s="52"/>
      <c r="P92" s="51" t="s">
        <v>676</v>
      </c>
      <c r="Q92" s="51"/>
      <c r="R92" s="53"/>
      <c r="S92" s="60"/>
      <c r="T92" s="198"/>
      <c r="U92" s="199"/>
      <c r="V92" s="200"/>
      <c r="W92" s="201"/>
      <c r="X92" s="217"/>
      <c r="Y92" s="218"/>
      <c r="Z92" s="201"/>
      <c r="AA92" s="55"/>
      <c r="AB92" s="408"/>
      <c r="AC92" s="212"/>
      <c r="AD92" s="221"/>
      <c r="AE92" s="212"/>
      <c r="AF92" s="213"/>
      <c r="AG92" s="214"/>
      <c r="AH92" s="215"/>
      <c r="AI92" s="213"/>
      <c r="AK92" s="197"/>
      <c r="AL92" s="197"/>
      <c r="AM92" s="197"/>
      <c r="AN92" s="197"/>
      <c r="AP92" s="216"/>
      <c r="AQ92" s="216"/>
      <c r="AR92" s="216"/>
      <c r="AS92" s="216"/>
      <c r="AT92" s="216"/>
      <c r="AU92" s="216"/>
      <c r="AV92" s="216"/>
      <c r="AW92" s="216"/>
      <c r="AX92" s="216"/>
    </row>
    <row r="93" spans="1:50" x14ac:dyDescent="0.25">
      <c r="A93" s="204" t="s">
        <v>298</v>
      </c>
      <c r="B93" s="50" t="s">
        <v>27</v>
      </c>
      <c r="C93" s="51" t="s">
        <v>41</v>
      </c>
      <c r="D93" s="51" t="s">
        <v>55</v>
      </c>
      <c r="E93" s="51" t="s">
        <v>10</v>
      </c>
      <c r="F93" s="52"/>
      <c r="G93" s="51" t="s">
        <v>39</v>
      </c>
      <c r="H93" s="51" t="s">
        <v>9</v>
      </c>
      <c r="I93" s="51" t="s">
        <v>11</v>
      </c>
      <c r="J93" s="53" t="s">
        <v>42</v>
      </c>
      <c r="K93" s="60"/>
      <c r="L93" s="50" t="s">
        <v>40</v>
      </c>
      <c r="M93" s="51" t="s">
        <v>12</v>
      </c>
      <c r="N93" s="51" t="s">
        <v>19</v>
      </c>
      <c r="O93" s="52"/>
      <c r="P93" s="51" t="s">
        <v>43</v>
      </c>
      <c r="Q93" s="51" t="s">
        <v>38</v>
      </c>
      <c r="R93" s="53" t="s">
        <v>15</v>
      </c>
      <c r="S93" s="60"/>
      <c r="T93" s="206" t="s">
        <v>27</v>
      </c>
      <c r="U93" s="207"/>
      <c r="V93" s="208" t="s">
        <v>39</v>
      </c>
      <c r="W93" s="209"/>
      <c r="X93" s="206" t="s">
        <v>27</v>
      </c>
      <c r="Y93" s="210"/>
      <c r="Z93" s="209"/>
      <c r="AA93" s="55"/>
      <c r="AB93" s="408"/>
      <c r="AC93" s="282">
        <f>SUM(B94:Z94)</f>
        <v>0</v>
      </c>
      <c r="AD93" s="283"/>
      <c r="AE93" s="188">
        <f>Z68</f>
        <v>10</v>
      </c>
      <c r="AF93" s="189"/>
      <c r="AG93" s="191">
        <f>SUM(AC93,AE93)</f>
        <v>10</v>
      </c>
      <c r="AH93" s="192"/>
      <c r="AI93" s="193"/>
      <c r="AK93" s="197" t="e">
        <f>SUM(#REF!,AG93)</f>
        <v>#REF!</v>
      </c>
      <c r="AL93" s="197"/>
      <c r="AM93" s="197"/>
      <c r="AN93" s="197"/>
    </row>
    <row r="94" spans="1:50" ht="15.75" thickBot="1" x14ac:dyDescent="0.3">
      <c r="A94" s="205"/>
      <c r="B94" s="50"/>
      <c r="C94" s="51"/>
      <c r="D94" s="51"/>
      <c r="E94" s="51"/>
      <c r="F94" s="52"/>
      <c r="G94" s="51"/>
      <c r="H94" s="51"/>
      <c r="I94" s="51"/>
      <c r="J94" s="53"/>
      <c r="K94" s="60"/>
      <c r="L94" s="50"/>
      <c r="M94" s="51"/>
      <c r="N94" s="51"/>
      <c r="O94" s="52"/>
      <c r="P94" s="51" t="s">
        <v>676</v>
      </c>
      <c r="Q94" s="51"/>
      <c r="R94" s="53"/>
      <c r="S94" s="60"/>
      <c r="T94" s="198"/>
      <c r="U94" s="199"/>
      <c r="V94" s="200"/>
      <c r="W94" s="201"/>
      <c r="X94" s="198"/>
      <c r="Y94" s="202"/>
      <c r="Z94" s="203"/>
      <c r="AA94" s="55"/>
      <c r="AB94" s="408"/>
      <c r="AC94" s="212"/>
      <c r="AD94" s="221"/>
      <c r="AE94" s="212"/>
      <c r="AF94" s="213"/>
      <c r="AG94" s="214"/>
      <c r="AH94" s="215"/>
      <c r="AI94" s="213"/>
      <c r="AK94" s="197"/>
      <c r="AL94" s="197"/>
      <c r="AM94" s="197"/>
      <c r="AN94" s="197"/>
    </row>
    <row r="95" spans="1:50" x14ac:dyDescent="0.25">
      <c r="A95" s="286" t="s">
        <v>600</v>
      </c>
      <c r="B95" s="50" t="s">
        <v>27</v>
      </c>
      <c r="C95" s="51" t="s">
        <v>41</v>
      </c>
      <c r="D95" s="51" t="s">
        <v>55</v>
      </c>
      <c r="E95" s="51" t="s">
        <v>10</v>
      </c>
      <c r="F95" s="52"/>
      <c r="G95" s="51" t="s">
        <v>39</v>
      </c>
      <c r="H95" s="51" t="s">
        <v>38</v>
      </c>
      <c r="I95" s="51" t="s">
        <v>11</v>
      </c>
      <c r="J95" s="53" t="s">
        <v>18</v>
      </c>
      <c r="K95" s="11"/>
      <c r="L95" s="50" t="s">
        <v>40</v>
      </c>
      <c r="M95" s="51" t="s">
        <v>12</v>
      </c>
      <c r="N95" s="51" t="s">
        <v>45</v>
      </c>
      <c r="O95" s="52"/>
      <c r="P95" s="51" t="s">
        <v>9</v>
      </c>
      <c r="Q95" s="51" t="s">
        <v>15</v>
      </c>
      <c r="R95" s="53" t="s">
        <v>49</v>
      </c>
      <c r="T95" s="280" t="s">
        <v>41</v>
      </c>
      <c r="U95" s="281"/>
      <c r="V95" s="242" t="s">
        <v>18</v>
      </c>
      <c r="W95" s="242"/>
      <c r="X95" s="206" t="s">
        <v>18</v>
      </c>
      <c r="Y95" s="210"/>
      <c r="Z95" s="209"/>
      <c r="AA95" s="55"/>
      <c r="AB95" s="408"/>
      <c r="AC95" s="188">
        <f>SUM(B96:Z96)</f>
        <v>0</v>
      </c>
      <c r="AD95" s="211"/>
      <c r="AE95" s="188">
        <f>Z70</f>
        <v>9</v>
      </c>
      <c r="AF95" s="189"/>
      <c r="AG95" s="191">
        <f>SUM(AC95,AE95)</f>
        <v>9</v>
      </c>
      <c r="AH95" s="192"/>
      <c r="AI95" s="193"/>
      <c r="AK95" s="197" t="e">
        <f>SUM(#REF!,AG95)</f>
        <v>#REF!</v>
      </c>
      <c r="AL95" s="197"/>
      <c r="AM95" s="197"/>
      <c r="AN95" s="197"/>
      <c r="AP95" s="216"/>
      <c r="AQ95" s="216"/>
      <c r="AR95" s="216"/>
      <c r="AS95" s="216"/>
      <c r="AT95" s="216"/>
      <c r="AU95" s="216"/>
      <c r="AV95" s="216"/>
      <c r="AW95" s="216"/>
      <c r="AX95" s="216"/>
    </row>
    <row r="96" spans="1:50" ht="15.75" thickBot="1" x14ac:dyDescent="0.3">
      <c r="A96" s="220"/>
      <c r="B96" s="50"/>
      <c r="C96" s="51"/>
      <c r="D96" s="51"/>
      <c r="E96" s="51"/>
      <c r="F96" s="52"/>
      <c r="G96" s="51"/>
      <c r="H96" s="51"/>
      <c r="I96" s="51"/>
      <c r="J96" s="53"/>
      <c r="K96" s="11"/>
      <c r="L96" s="50"/>
      <c r="M96" s="51"/>
      <c r="N96" s="51"/>
      <c r="O96" s="52"/>
      <c r="P96" s="51"/>
      <c r="Q96" s="51"/>
      <c r="R96" s="53"/>
      <c r="S96" s="11"/>
      <c r="T96" s="198"/>
      <c r="U96" s="199"/>
      <c r="V96" s="200"/>
      <c r="W96" s="201"/>
      <c r="X96" s="217"/>
      <c r="Y96" s="218"/>
      <c r="Z96" s="201"/>
      <c r="AA96" s="55"/>
      <c r="AB96" s="408"/>
      <c r="AC96" s="212"/>
      <c r="AD96" s="221"/>
      <c r="AE96" s="212"/>
      <c r="AF96" s="213"/>
      <c r="AG96" s="214"/>
      <c r="AH96" s="215"/>
      <c r="AI96" s="213"/>
      <c r="AK96" s="197"/>
      <c r="AL96" s="197"/>
      <c r="AM96" s="197"/>
      <c r="AN96" s="197"/>
      <c r="AP96" s="216"/>
      <c r="AQ96" s="216"/>
      <c r="AR96" s="216"/>
      <c r="AS96" s="216"/>
      <c r="AT96" s="216"/>
      <c r="AU96" s="216"/>
      <c r="AV96" s="216"/>
      <c r="AW96" s="216"/>
      <c r="AX96" s="216"/>
    </row>
    <row r="97" spans="1:40" x14ac:dyDescent="0.25">
      <c r="A97" s="247" t="s">
        <v>599</v>
      </c>
      <c r="B97" s="50" t="s">
        <v>27</v>
      </c>
      <c r="C97" s="51" t="s">
        <v>40</v>
      </c>
      <c r="D97" s="51" t="s">
        <v>55</v>
      </c>
      <c r="E97" s="51" t="s">
        <v>16</v>
      </c>
      <c r="F97" s="52"/>
      <c r="G97" s="51" t="s">
        <v>39</v>
      </c>
      <c r="H97" s="51" t="s">
        <v>9</v>
      </c>
      <c r="I97" s="51" t="s">
        <v>11</v>
      </c>
      <c r="J97" s="53" t="s">
        <v>18</v>
      </c>
      <c r="K97" s="11"/>
      <c r="L97" s="50" t="s">
        <v>41</v>
      </c>
      <c r="M97" s="51" t="s">
        <v>15</v>
      </c>
      <c r="N97" s="51" t="s">
        <v>10</v>
      </c>
      <c r="O97" s="52"/>
      <c r="P97" s="51" t="s">
        <v>42</v>
      </c>
      <c r="Q97" s="51" t="s">
        <v>38</v>
      </c>
      <c r="R97" s="53" t="s">
        <v>44</v>
      </c>
      <c r="S97" s="11"/>
      <c r="T97" s="280" t="s">
        <v>27</v>
      </c>
      <c r="U97" s="281"/>
      <c r="V97" s="242" t="s">
        <v>18</v>
      </c>
      <c r="W97" s="242"/>
      <c r="X97" s="206" t="s">
        <v>18</v>
      </c>
      <c r="Y97" s="210"/>
      <c r="Z97" s="209"/>
      <c r="AA97" s="55"/>
      <c r="AB97" s="408"/>
      <c r="AC97" s="282">
        <f>SUM(B98:Z98)</f>
        <v>0</v>
      </c>
      <c r="AD97" s="283"/>
      <c r="AE97" s="188">
        <f>Z72</f>
        <v>7</v>
      </c>
      <c r="AF97" s="189"/>
      <c r="AG97" s="191">
        <f>SUM(AC97,AE97)</f>
        <v>7</v>
      </c>
      <c r="AH97" s="192"/>
      <c r="AI97" s="193"/>
      <c r="AK97" s="197" t="e">
        <f>SUM(#REF!,AG97)</f>
        <v>#REF!</v>
      </c>
      <c r="AL97" s="197"/>
      <c r="AM97" s="197"/>
      <c r="AN97" s="197"/>
    </row>
    <row r="98" spans="1:40" x14ac:dyDescent="0.25">
      <c r="A98" s="205"/>
      <c r="B98" s="50"/>
      <c r="C98" s="51"/>
      <c r="D98" s="51"/>
      <c r="E98" s="51" t="s">
        <v>676</v>
      </c>
      <c r="F98" s="57"/>
      <c r="G98" s="51"/>
      <c r="H98" s="51"/>
      <c r="I98" s="51"/>
      <c r="J98" s="53"/>
      <c r="K98" s="32"/>
      <c r="L98" s="50"/>
      <c r="M98" s="51"/>
      <c r="N98" s="51"/>
      <c r="O98" s="52"/>
      <c r="P98" s="51"/>
      <c r="Q98" s="51"/>
      <c r="R98" s="53"/>
      <c r="S98" s="30"/>
      <c r="T98" s="198"/>
      <c r="U98" s="199"/>
      <c r="V98" s="200"/>
      <c r="W98" s="201"/>
      <c r="X98" s="217"/>
      <c r="Y98" s="218"/>
      <c r="Z98" s="201"/>
      <c r="AA98" s="55"/>
      <c r="AB98" s="408"/>
      <c r="AC98" s="212"/>
      <c r="AD98" s="221"/>
      <c r="AE98" s="212"/>
      <c r="AF98" s="213"/>
      <c r="AG98" s="214"/>
      <c r="AH98" s="215"/>
      <c r="AI98" s="213"/>
      <c r="AK98" s="197"/>
      <c r="AL98" s="197"/>
      <c r="AM98" s="197"/>
      <c r="AN98" s="197"/>
    </row>
    <row r="99" spans="1:40" ht="15.75" thickBot="1" x14ac:dyDescent="0.3"/>
    <row r="100" spans="1:40" ht="15" customHeight="1" thickTop="1" x14ac:dyDescent="0.25">
      <c r="A100" s="271" t="s">
        <v>13</v>
      </c>
      <c r="B100" s="21"/>
      <c r="C100" s="21"/>
      <c r="D100" s="273" t="s">
        <v>136</v>
      </c>
      <c r="E100" s="273"/>
      <c r="F100" s="22"/>
      <c r="G100" s="67"/>
      <c r="H100" s="23"/>
      <c r="I100" s="273" t="s">
        <v>0</v>
      </c>
      <c r="J100" s="273"/>
      <c r="K100" s="67"/>
      <c r="L100" s="24"/>
      <c r="M100" s="23"/>
      <c r="N100" s="273" t="s">
        <v>1</v>
      </c>
      <c r="O100" s="273"/>
      <c r="P100" s="22"/>
      <c r="Q100" s="64"/>
      <c r="R100" s="23"/>
      <c r="S100" s="23"/>
      <c r="T100" s="22" t="s">
        <v>2</v>
      </c>
      <c r="U100" s="24"/>
      <c r="V100" s="25"/>
      <c r="W100" s="22"/>
      <c r="X100" s="22" t="s">
        <v>562</v>
      </c>
      <c r="Y100" s="22"/>
      <c r="Z100" s="274" t="s">
        <v>32</v>
      </c>
      <c r="AA100" s="275"/>
      <c r="AB100" s="403"/>
    </row>
    <row r="101" spans="1:40" ht="15" customHeight="1" x14ac:dyDescent="0.25">
      <c r="A101" s="272"/>
      <c r="B101" s="4">
        <v>4</v>
      </c>
      <c r="C101" s="5">
        <v>5</v>
      </c>
      <c r="D101" s="5">
        <v>8</v>
      </c>
      <c r="E101" s="5">
        <v>14</v>
      </c>
      <c r="F101" s="5">
        <v>22</v>
      </c>
      <c r="G101" s="6">
        <v>29</v>
      </c>
      <c r="H101" s="4">
        <v>5</v>
      </c>
      <c r="I101" s="7">
        <v>12</v>
      </c>
      <c r="J101" s="5">
        <v>20</v>
      </c>
      <c r="K101" s="6">
        <v>26</v>
      </c>
      <c r="L101" s="7">
        <v>2</v>
      </c>
      <c r="M101" s="5">
        <v>9</v>
      </c>
      <c r="N101" s="5">
        <v>13</v>
      </c>
      <c r="O101" s="5">
        <v>23</v>
      </c>
      <c r="P101" s="5">
        <v>27</v>
      </c>
      <c r="Q101" s="65">
        <v>27</v>
      </c>
      <c r="R101" s="7">
        <v>7</v>
      </c>
      <c r="S101" s="8">
        <v>11</v>
      </c>
      <c r="T101" s="8">
        <v>18</v>
      </c>
      <c r="U101" s="8">
        <v>21</v>
      </c>
      <c r="V101" s="66">
        <v>25</v>
      </c>
      <c r="W101" s="7" t="s">
        <v>561</v>
      </c>
      <c r="X101" s="5" t="s">
        <v>561</v>
      </c>
      <c r="Y101" s="8" t="s">
        <v>561</v>
      </c>
      <c r="Z101" s="276"/>
      <c r="AA101" s="277"/>
      <c r="AB101" s="403"/>
    </row>
    <row r="102" spans="1:40" ht="15.75" customHeight="1" thickBot="1" x14ac:dyDescent="0.3">
      <c r="A102" s="72" t="s">
        <v>14</v>
      </c>
      <c r="B102" s="9">
        <v>1</v>
      </c>
      <c r="C102" s="10">
        <v>2</v>
      </c>
      <c r="D102" s="10">
        <v>3</v>
      </c>
      <c r="E102" s="10">
        <v>4</v>
      </c>
      <c r="F102" s="10">
        <v>5</v>
      </c>
      <c r="G102" s="38">
        <v>6</v>
      </c>
      <c r="H102" s="37">
        <v>7</v>
      </c>
      <c r="I102" s="37">
        <v>8</v>
      </c>
      <c r="J102" s="10">
        <v>9</v>
      </c>
      <c r="K102" s="38">
        <v>10</v>
      </c>
      <c r="L102" s="37">
        <v>11</v>
      </c>
      <c r="M102" s="10">
        <v>12</v>
      </c>
      <c r="N102" s="10">
        <v>13</v>
      </c>
      <c r="O102" s="10">
        <v>14</v>
      </c>
      <c r="P102" s="10">
        <v>15</v>
      </c>
      <c r="Q102" s="38">
        <v>16</v>
      </c>
      <c r="R102" s="37">
        <v>17</v>
      </c>
      <c r="S102" s="10">
        <v>18</v>
      </c>
      <c r="T102" s="10">
        <v>19</v>
      </c>
      <c r="U102" s="37">
        <v>20</v>
      </c>
      <c r="V102" s="38">
        <v>21</v>
      </c>
      <c r="W102" s="37">
        <v>22</v>
      </c>
      <c r="X102" s="10">
        <v>23</v>
      </c>
      <c r="Y102" s="10">
        <v>24</v>
      </c>
      <c r="Z102" s="278"/>
      <c r="AA102" s="279"/>
      <c r="AB102" s="403"/>
    </row>
    <row r="103" spans="1:40" x14ac:dyDescent="0.25">
      <c r="A103" s="87" t="s">
        <v>601</v>
      </c>
      <c r="B103" s="71" t="s">
        <v>39</v>
      </c>
      <c r="C103" s="69" t="s">
        <v>12</v>
      </c>
      <c r="D103" s="69" t="s">
        <v>44</v>
      </c>
      <c r="E103" s="69" t="s">
        <v>15</v>
      </c>
      <c r="F103" s="69" t="s">
        <v>38</v>
      </c>
      <c r="G103" s="69" t="s">
        <v>57</v>
      </c>
      <c r="H103" s="69" t="s">
        <v>16</v>
      </c>
      <c r="I103" s="69" t="s">
        <v>54</v>
      </c>
      <c r="J103" s="69" t="s">
        <v>42</v>
      </c>
      <c r="K103" s="69" t="s">
        <v>20</v>
      </c>
      <c r="L103" s="69" t="s">
        <v>18</v>
      </c>
      <c r="M103" s="69" t="s">
        <v>27</v>
      </c>
      <c r="N103" s="69" t="s">
        <v>21</v>
      </c>
      <c r="O103" s="69" t="s">
        <v>48</v>
      </c>
      <c r="P103" s="69" t="s">
        <v>38</v>
      </c>
      <c r="Q103" s="69" t="s">
        <v>10</v>
      </c>
      <c r="R103" s="69" t="s">
        <v>41</v>
      </c>
      <c r="S103" s="69" t="s">
        <v>11</v>
      </c>
      <c r="T103" s="70" t="s">
        <v>42</v>
      </c>
      <c r="U103" s="69" t="s">
        <v>11</v>
      </c>
      <c r="V103" s="69" t="s">
        <v>43</v>
      </c>
      <c r="W103" s="69" t="s">
        <v>12</v>
      </c>
      <c r="X103" s="69" t="s">
        <v>51</v>
      </c>
      <c r="Y103" s="69" t="s">
        <v>18</v>
      </c>
      <c r="Z103" s="243">
        <f>SUM(B104:Y104)</f>
        <v>9</v>
      </c>
      <c r="AA103" s="189"/>
      <c r="AB103" s="404"/>
    </row>
    <row r="104" spans="1:40" ht="15.75" thickBot="1" x14ac:dyDescent="0.3">
      <c r="A104" s="88"/>
      <c r="B104" s="2">
        <f>IF(B123="Philadelphia Eagles",1,0)</f>
        <v>1</v>
      </c>
      <c r="C104" s="1">
        <f>IF(C123="Los Angeles Chargers",1,0)</f>
        <v>1</v>
      </c>
      <c r="D104" s="1">
        <f>IF(D123="Minnesota Vikings",1,0)</f>
        <v>1</v>
      </c>
      <c r="E104" s="1">
        <f>IF(E123="Los Angeles Rams",1,0)</f>
        <v>1</v>
      </c>
      <c r="F104" s="1">
        <f>IF(F123="Detroit Lions",1,0)</f>
        <v>1</v>
      </c>
      <c r="G104" s="1">
        <f>IF(G123="Denver Broncos",1,0)</f>
        <v>1</v>
      </c>
      <c r="H104" s="1">
        <f>IF(H123="Las Vegas Raiders",1,0)</f>
        <v>0</v>
      </c>
      <c r="I104" s="1">
        <f>IF(I123="Pittsburgh Steelers",1,0)</f>
        <v>1</v>
      </c>
      <c r="J104" s="1">
        <f>IF(J123="Seattle Seahawks",1,0)</f>
        <v>1</v>
      </c>
      <c r="K104" s="1">
        <f>IF(K123="New Orleans Saints",1,0)</f>
        <v>0</v>
      </c>
      <c r="L104" s="1">
        <f>IF(L123="San Francisco 49ers",1,0)</f>
        <v>1</v>
      </c>
      <c r="M104" s="1">
        <f>IF(M123="Buffalo Bills",1,0)</f>
        <v>0</v>
      </c>
      <c r="N104" s="1">
        <f>IF(N123="New York Jets",1,0)</f>
        <v>0</v>
      </c>
      <c r="O104" s="1">
        <f>IF(O123="Arizona Cardinals",1,0)</f>
        <v>0</v>
      </c>
      <c r="P104" s="1">
        <f>IF(P123="Detroit Lions",1,0)</f>
        <v>0</v>
      </c>
      <c r="Q104" s="1">
        <f>IF(Q123="Kansas City Chiefs",1,0)</f>
        <v>0</v>
      </c>
      <c r="R104" s="1">
        <f>IF(R123="Baltimore Ravens",1,0)</f>
        <v>0</v>
      </c>
      <c r="S104" s="1">
        <f>IF(S123="Tampa Bay Buccaneers",1,0)</f>
        <v>0</v>
      </c>
      <c r="T104" s="1">
        <f>IF(T123="Seattle Seahawks",1,0)</f>
        <v>0</v>
      </c>
      <c r="U104" s="1">
        <f>IF(U123="Tampa Bay Buccaneers",1,0)</f>
        <v>0</v>
      </c>
      <c r="V104" s="1">
        <f>IF(V123="Washington Commanders",1,0)</f>
        <v>0</v>
      </c>
      <c r="W104" s="1">
        <f>IF(W123="Los Angeles Chargers",1,0)</f>
        <v>0</v>
      </c>
      <c r="X104" s="1">
        <f>IF(X123="Jacksonville Jaguars",1,0)</f>
        <v>0</v>
      </c>
      <c r="Y104" s="3">
        <f>IF(Y123="San Francisco 49ers",1,0)</f>
        <v>0</v>
      </c>
      <c r="Z104" s="214"/>
      <c r="AA104" s="213"/>
      <c r="AB104" s="404"/>
    </row>
    <row r="105" spans="1:40" x14ac:dyDescent="0.25">
      <c r="A105" s="85" t="s">
        <v>606</v>
      </c>
      <c r="B105" s="68" t="s">
        <v>39</v>
      </c>
      <c r="C105" s="69" t="s">
        <v>12</v>
      </c>
      <c r="D105" s="69" t="s">
        <v>53</v>
      </c>
      <c r="E105" s="69" t="s">
        <v>15</v>
      </c>
      <c r="F105" s="69" t="s">
        <v>41</v>
      </c>
      <c r="G105" s="69" t="s">
        <v>57</v>
      </c>
      <c r="H105" s="69" t="s">
        <v>56</v>
      </c>
      <c r="I105" s="69" t="s">
        <v>54</v>
      </c>
      <c r="J105" s="69" t="s">
        <v>55</v>
      </c>
      <c r="K105" s="69" t="s">
        <v>11</v>
      </c>
      <c r="L105" s="69" t="s">
        <v>18</v>
      </c>
      <c r="M105" s="69" t="s">
        <v>27</v>
      </c>
      <c r="N105" s="69" t="s">
        <v>19</v>
      </c>
      <c r="O105" s="69" t="s">
        <v>51</v>
      </c>
      <c r="P105" s="69" t="s">
        <v>9</v>
      </c>
      <c r="Q105" s="69" t="s">
        <v>10</v>
      </c>
      <c r="R105" s="69" t="s">
        <v>41</v>
      </c>
      <c r="S105" s="69" t="s">
        <v>50</v>
      </c>
      <c r="T105" s="70" t="s">
        <v>42</v>
      </c>
      <c r="U105" s="69" t="s">
        <v>11</v>
      </c>
      <c r="V105" s="69" t="s">
        <v>43</v>
      </c>
      <c r="W105" s="69" t="s">
        <v>12</v>
      </c>
      <c r="X105" s="69" t="s">
        <v>51</v>
      </c>
      <c r="Y105" s="69" t="s">
        <v>18</v>
      </c>
      <c r="Z105" s="243">
        <f>SUM(B106:Y106)</f>
        <v>11</v>
      </c>
      <c r="AA105" s="189"/>
      <c r="AB105" s="404"/>
    </row>
    <row r="106" spans="1:40" ht="15.75" thickBot="1" x14ac:dyDescent="0.3">
      <c r="A106" s="86"/>
      <c r="B106" s="2">
        <f>IF(B123="Philadelphia Eagles",1,0)</f>
        <v>1</v>
      </c>
      <c r="C106" s="1">
        <f>IF(C123="Los Angeles Chargers",1,0)</f>
        <v>1</v>
      </c>
      <c r="D106" s="1">
        <f>IF(D123="Chicago Bears",1,0)</f>
        <v>0</v>
      </c>
      <c r="E106" s="1">
        <f>IF(E123="Los Angeles Rams",1,0)</f>
        <v>1</v>
      </c>
      <c r="F106" s="1">
        <f>IF(F123="Baltimore Ravens",1,0)</f>
        <v>0</v>
      </c>
      <c r="G106" s="1">
        <f>IF(G123="Denver Broncos",1,0)</f>
        <v>1</v>
      </c>
      <c r="H106" s="1">
        <f>IF(H123="Indianapolis Colts",1,0)</f>
        <v>1</v>
      </c>
      <c r="I106" s="1">
        <f>IF(I123="Pittsburgh Steelers",1,0)</f>
        <v>1</v>
      </c>
      <c r="J106" s="1">
        <f>IF(J123="Houston Texans",1,0)</f>
        <v>0</v>
      </c>
      <c r="K106" s="1">
        <f>IF(K123="Tampa Bay Buccaneers",1,0)</f>
        <v>1</v>
      </c>
      <c r="L106" s="1">
        <f>IF(L123="San Francisco 49ers",1,0)</f>
        <v>1</v>
      </c>
      <c r="M106" s="1">
        <f>IF(M123="Buffalo Bills",1,0)</f>
        <v>0</v>
      </c>
      <c r="N106" s="1">
        <f>IF(N123="New England Patriots",1,0)</f>
        <v>1</v>
      </c>
      <c r="O106" s="1">
        <f>IF(O123="Jacksonville Jaguars",1,0)</f>
        <v>1</v>
      </c>
      <c r="P106" s="1">
        <f>IF(P123="Green Bay Packers",1,0)</f>
        <v>1</v>
      </c>
      <c r="Q106" s="1">
        <f>IF(Q123="Kansas City Chiefs",1,0)</f>
        <v>0</v>
      </c>
      <c r="R106" s="1">
        <f>IF(R123="Baltimore Ravens",1,0)</f>
        <v>0</v>
      </c>
      <c r="S106" s="1">
        <f>IF(S123="Atlanta Falcons",1,0)</f>
        <v>0</v>
      </c>
      <c r="T106" s="1">
        <f>IF(T123="Seattle Seahawks",1,0)</f>
        <v>0</v>
      </c>
      <c r="U106" s="1">
        <f>IF(U123="Tampa Bay Buccaneers",1,0)</f>
        <v>0</v>
      </c>
      <c r="V106" s="1">
        <f>IF(V123="Washington Commanders",1,0)</f>
        <v>0</v>
      </c>
      <c r="W106" s="1">
        <f>IF(W123="Los Angeles Chargers",1,0)</f>
        <v>0</v>
      </c>
      <c r="X106" s="1">
        <f>IF(X123="Jacksonville Jaguars",1,0)</f>
        <v>0</v>
      </c>
      <c r="Y106" s="3">
        <f>IF(Y123="San Francisco 49ers",1,0)</f>
        <v>0</v>
      </c>
      <c r="Z106" s="214"/>
      <c r="AA106" s="213"/>
      <c r="AB106" s="404"/>
    </row>
    <row r="107" spans="1:40" x14ac:dyDescent="0.25">
      <c r="A107" s="87" t="s">
        <v>608</v>
      </c>
      <c r="B107" s="68" t="s">
        <v>39</v>
      </c>
      <c r="C107" s="69" t="s">
        <v>10</v>
      </c>
      <c r="D107" s="69" t="s">
        <v>44</v>
      </c>
      <c r="E107" s="69" t="s">
        <v>15</v>
      </c>
      <c r="F107" s="69" t="s">
        <v>41</v>
      </c>
      <c r="G107" s="69" t="s">
        <v>57</v>
      </c>
      <c r="H107" s="69" t="s">
        <v>16</v>
      </c>
      <c r="I107" s="69" t="s">
        <v>54</v>
      </c>
      <c r="J107" s="69" t="s">
        <v>55</v>
      </c>
      <c r="K107" s="69" t="s">
        <v>11</v>
      </c>
      <c r="L107" s="69" t="s">
        <v>18</v>
      </c>
      <c r="M107" s="69" t="s">
        <v>27</v>
      </c>
      <c r="N107" s="69" t="s">
        <v>21</v>
      </c>
      <c r="O107" s="69" t="s">
        <v>51</v>
      </c>
      <c r="P107" s="69" t="s">
        <v>38</v>
      </c>
      <c r="Q107" s="69" t="s">
        <v>10</v>
      </c>
      <c r="R107" s="69" t="s">
        <v>41</v>
      </c>
      <c r="S107" s="69" t="s">
        <v>11</v>
      </c>
      <c r="T107" s="70" t="s">
        <v>15</v>
      </c>
      <c r="U107" s="69" t="s">
        <v>11</v>
      </c>
      <c r="V107" s="69" t="s">
        <v>43</v>
      </c>
      <c r="W107" s="69" t="s">
        <v>57</v>
      </c>
      <c r="X107" s="69" t="s">
        <v>51</v>
      </c>
      <c r="Y107" s="69" t="s">
        <v>18</v>
      </c>
      <c r="Z107" s="243">
        <f>SUM(B108:Y108)</f>
        <v>8</v>
      </c>
      <c r="AA107" s="189"/>
      <c r="AB107" s="404"/>
    </row>
    <row r="108" spans="1:40" ht="15.75" thickBot="1" x14ac:dyDescent="0.3">
      <c r="A108" s="88"/>
      <c r="B108" s="2">
        <f>IF(B123="Philadelphia Eagles",1,0)</f>
        <v>1</v>
      </c>
      <c r="C108" s="1">
        <f>IF(C123="Kansas City Chiefs",1,0)</f>
        <v>0</v>
      </c>
      <c r="D108" s="1">
        <f>IF(D123="Minnesota Vikings",1,0)</f>
        <v>1</v>
      </c>
      <c r="E108" s="1">
        <f>IF(E123="Los Angeles Rams",1,0)</f>
        <v>1</v>
      </c>
      <c r="F108" s="1">
        <f>IF(F123="Baltimore Ravens",1,0)</f>
        <v>0</v>
      </c>
      <c r="G108" s="1">
        <f>IF(G123="Denver Broncos",1,0)</f>
        <v>1</v>
      </c>
      <c r="H108" s="1">
        <f>IF(H123="Las Vegas Raiders",1,0)</f>
        <v>0</v>
      </c>
      <c r="I108" s="1">
        <f>IF(I123="Pittsburgh Steelers",1,0)</f>
        <v>1</v>
      </c>
      <c r="J108" s="1">
        <f>IF(J123="Houston Texans",1,0)</f>
        <v>0</v>
      </c>
      <c r="K108" s="1">
        <f>IF(K123="Tampa Bay Buccaneers",1,0)</f>
        <v>1</v>
      </c>
      <c r="L108" s="1">
        <f>IF(L123="San Francisco 49ers",1,0)</f>
        <v>1</v>
      </c>
      <c r="M108" s="1">
        <f>IF(M123="Buffalo Bills",1,0)</f>
        <v>0</v>
      </c>
      <c r="N108" s="1">
        <f>IF(N123="New York Jets",1,0)</f>
        <v>0</v>
      </c>
      <c r="O108" s="1">
        <f>IF(O123="Jacksonville Jaguars",1,0)</f>
        <v>1</v>
      </c>
      <c r="P108" s="1">
        <f>IF(P123="Detroit Lions",1,0)</f>
        <v>0</v>
      </c>
      <c r="Q108" s="1">
        <f>IF(Q123="Kansas City Chiefs",1,0)</f>
        <v>0</v>
      </c>
      <c r="R108" s="1">
        <f>IF(R123="Baltimore Ravens",1,0)</f>
        <v>0</v>
      </c>
      <c r="S108" s="1">
        <f>IF(S123="Tampa Bay Buccaneers",1,0)</f>
        <v>0</v>
      </c>
      <c r="T108" s="1">
        <f>IF(T123="Los Angeles Rams",1,0)</f>
        <v>0</v>
      </c>
      <c r="U108" s="1">
        <f>IF(U123="Tampa Bay Buccaneers",1,0)</f>
        <v>0</v>
      </c>
      <c r="V108" s="1">
        <f>IF(V123="Washington Commanders",1,0)</f>
        <v>0</v>
      </c>
      <c r="W108" s="1">
        <f>IF(W123="Denver Broncos",1,0)</f>
        <v>0</v>
      </c>
      <c r="X108" s="1">
        <f>IF(X123="Jacksonville Jaguars",1,0)</f>
        <v>0</v>
      </c>
      <c r="Y108" s="3">
        <f>IF(Y123="San Francisco 49ers",1,0)</f>
        <v>0</v>
      </c>
      <c r="Z108" s="214"/>
      <c r="AA108" s="213"/>
      <c r="AB108" s="404"/>
    </row>
    <row r="109" spans="1:40" x14ac:dyDescent="0.25">
      <c r="A109" s="85" t="s">
        <v>611</v>
      </c>
      <c r="B109" s="68" t="s">
        <v>39</v>
      </c>
      <c r="C109" s="69" t="s">
        <v>10</v>
      </c>
      <c r="D109" s="69" t="s">
        <v>44</v>
      </c>
      <c r="E109" s="69" t="s">
        <v>15</v>
      </c>
      <c r="F109" s="69" t="s">
        <v>41</v>
      </c>
      <c r="G109" s="69" t="s">
        <v>40</v>
      </c>
      <c r="H109" s="69" t="s">
        <v>56</v>
      </c>
      <c r="I109" s="69" t="s">
        <v>54</v>
      </c>
      <c r="J109" s="69" t="s">
        <v>55</v>
      </c>
      <c r="K109" s="69" t="s">
        <v>11</v>
      </c>
      <c r="L109" s="69" t="s">
        <v>18</v>
      </c>
      <c r="M109" s="69" t="s">
        <v>27</v>
      </c>
      <c r="N109" s="69" t="s">
        <v>19</v>
      </c>
      <c r="O109" s="69" t="s">
        <v>48</v>
      </c>
      <c r="P109" s="69" t="s">
        <v>38</v>
      </c>
      <c r="Q109" s="69" t="s">
        <v>10</v>
      </c>
      <c r="R109" s="69" t="s">
        <v>41</v>
      </c>
      <c r="S109" s="69" t="s">
        <v>50</v>
      </c>
      <c r="T109" s="70" t="s">
        <v>15</v>
      </c>
      <c r="U109" s="69" t="s">
        <v>11</v>
      </c>
      <c r="V109" s="69" t="s">
        <v>43</v>
      </c>
      <c r="W109" s="69" t="s">
        <v>57</v>
      </c>
      <c r="X109" s="69" t="s">
        <v>46</v>
      </c>
      <c r="Y109" s="69" t="s">
        <v>18</v>
      </c>
      <c r="Z109" s="243">
        <f>SUM(B110:Y110)</f>
        <v>8</v>
      </c>
      <c r="AA109" s="189"/>
      <c r="AB109" s="404"/>
    </row>
    <row r="110" spans="1:40" ht="15.75" thickBot="1" x14ac:dyDescent="0.3">
      <c r="A110" s="86"/>
      <c r="B110" s="2">
        <f>IF(B123="Philadelphia Eagles",1,0)</f>
        <v>1</v>
      </c>
      <c r="C110" s="1">
        <f>IF(C123="Kansas City Chiefs",1,0)</f>
        <v>0</v>
      </c>
      <c r="D110" s="1">
        <f>IF(D123="Minnesota Vikings",1,0)</f>
        <v>1</v>
      </c>
      <c r="E110" s="1">
        <f>IF(E123="Los Angeles Rams",1,0)</f>
        <v>1</v>
      </c>
      <c r="F110" s="1">
        <f>IF(F123="Baltimore Ravens",1,0)</f>
        <v>0</v>
      </c>
      <c r="G110" s="1">
        <f>IF(G123="Cincinnati Bengals",1,0)</f>
        <v>0</v>
      </c>
      <c r="H110" s="1">
        <f>IF(H123="Indianapolis Colts",1,0)</f>
        <v>1</v>
      </c>
      <c r="I110" s="1">
        <f>IF(I123="Pittsburgh Steelers",1,0)</f>
        <v>1</v>
      </c>
      <c r="J110" s="1">
        <f>IF(J123="Houston Texans",1,0)</f>
        <v>0</v>
      </c>
      <c r="K110" s="1">
        <f>IF(K123="Tampa Bay Buccaneers",1,0)</f>
        <v>1</v>
      </c>
      <c r="L110" s="1">
        <f>IF(L123="San Francisco 49ers",1,0)</f>
        <v>1</v>
      </c>
      <c r="M110" s="1">
        <f>IF(M123="Buffalo Bills",1,0)</f>
        <v>0</v>
      </c>
      <c r="N110" s="1">
        <f>IF(N123="New England Patriots",1,0)</f>
        <v>1</v>
      </c>
      <c r="O110" s="1">
        <f>IF(O123="Arizona Cardinals",1,0)</f>
        <v>0</v>
      </c>
      <c r="P110" s="1">
        <f>IF(P123="Detroit Lions",1,0)</f>
        <v>0</v>
      </c>
      <c r="Q110" s="1">
        <f>IF(Q123="Kansas City Chiefs",1,0)</f>
        <v>0</v>
      </c>
      <c r="R110" s="1">
        <f>IF(R123="Baltimore Ravens",1,0)</f>
        <v>0</v>
      </c>
      <c r="S110" s="1">
        <f>IF(S123="Atlanta Falcons",1,0)</f>
        <v>0</v>
      </c>
      <c r="T110" s="1">
        <f>IF(T123="Los Angeles Rams",1,0)</f>
        <v>0</v>
      </c>
      <c r="U110" s="1">
        <f>IF(U123="Tampa Bay Buccaneers",1,0)</f>
        <v>0</v>
      </c>
      <c r="V110" s="1">
        <f>IF(V123="Washington Commanders",1,0)</f>
        <v>0</v>
      </c>
      <c r="W110" s="1">
        <f>IF(W123="Denver Broncos",1,0)</f>
        <v>0</v>
      </c>
      <c r="X110" s="1">
        <f>IF(X123="Tennessee Titans",1,0)</f>
        <v>0</v>
      </c>
      <c r="Y110" s="3">
        <f>IF(Y123="San Francisco 49ers",1,0)</f>
        <v>0</v>
      </c>
      <c r="Z110" s="214"/>
      <c r="AA110" s="213"/>
      <c r="AB110" s="404"/>
    </row>
    <row r="111" spans="1:40" x14ac:dyDescent="0.25">
      <c r="A111" s="87" t="s">
        <v>573</v>
      </c>
      <c r="B111" s="68" t="s">
        <v>39</v>
      </c>
      <c r="C111" s="69" t="s">
        <v>10</v>
      </c>
      <c r="D111" s="69" t="s">
        <v>44</v>
      </c>
      <c r="E111" s="69" t="s">
        <v>15</v>
      </c>
      <c r="F111" s="69" t="s">
        <v>41</v>
      </c>
      <c r="G111" s="69" t="s">
        <v>57</v>
      </c>
      <c r="H111" s="69" t="s">
        <v>56</v>
      </c>
      <c r="I111" s="69" t="s">
        <v>54</v>
      </c>
      <c r="J111" s="69" t="s">
        <v>42</v>
      </c>
      <c r="K111" s="69" t="s">
        <v>11</v>
      </c>
      <c r="L111" s="69" t="s">
        <v>17</v>
      </c>
      <c r="M111" s="69" t="s">
        <v>45</v>
      </c>
      <c r="N111" s="69" t="s">
        <v>21</v>
      </c>
      <c r="O111" s="69" t="s">
        <v>48</v>
      </c>
      <c r="P111" s="69" t="s">
        <v>38</v>
      </c>
      <c r="Q111" s="69" t="s">
        <v>10</v>
      </c>
      <c r="R111" s="69" t="s">
        <v>41</v>
      </c>
      <c r="S111" s="69" t="s">
        <v>11</v>
      </c>
      <c r="T111" s="70" t="s">
        <v>42</v>
      </c>
      <c r="U111" s="69" t="s">
        <v>11</v>
      </c>
      <c r="V111" s="69" t="s">
        <v>43</v>
      </c>
      <c r="W111" s="69" t="s">
        <v>57</v>
      </c>
      <c r="X111" s="69" t="s">
        <v>51</v>
      </c>
      <c r="Y111" s="69" t="s">
        <v>42</v>
      </c>
      <c r="Z111" s="243">
        <f>SUM(B112:Y112)</f>
        <v>9</v>
      </c>
      <c r="AA111" s="189"/>
      <c r="AB111" s="404"/>
    </row>
    <row r="112" spans="1:40" ht="15.75" thickBot="1" x14ac:dyDescent="0.3">
      <c r="A112" s="88"/>
      <c r="B112" s="2">
        <f>IF(B123="Philadelphia Eagles",1,0)</f>
        <v>1</v>
      </c>
      <c r="C112" s="1">
        <f>IF(C123="Kansas City Chiefs",1,0)</f>
        <v>0</v>
      </c>
      <c r="D112" s="1">
        <f>IF(D123="Minnesota Vikings",1,0)</f>
        <v>1</v>
      </c>
      <c r="E112" s="1">
        <f>IF(E123="Los Angeles Rams",1,0)</f>
        <v>1</v>
      </c>
      <c r="F112" s="1">
        <f>IF(F123="Baltimore Ravens",1,0)</f>
        <v>0</v>
      </c>
      <c r="G112" s="1">
        <f>IF(G123="Denver Broncos",1,0)</f>
        <v>1</v>
      </c>
      <c r="H112" s="1">
        <f>IF(H123="Indianapolis Colts",1,0)</f>
        <v>1</v>
      </c>
      <c r="I112" s="1">
        <f>IF(I123="Pittsburgh Steelers",1,0)</f>
        <v>1</v>
      </c>
      <c r="J112" s="1">
        <f>IF(J123="Seattle Seahawks",1,0)</f>
        <v>1</v>
      </c>
      <c r="K112" s="1">
        <f>IF(K123="Tampa Bay Buccaneers",1,0)</f>
        <v>1</v>
      </c>
      <c r="L112" s="1">
        <f>IF(L123="New York Giants",1,0)</f>
        <v>0</v>
      </c>
      <c r="M112" s="1">
        <f>IF(M123="Miami Dolphins",1,0)</f>
        <v>1</v>
      </c>
      <c r="N112" s="1">
        <f>IF(N123="New York Jets",1,0)</f>
        <v>0</v>
      </c>
      <c r="O112" s="1">
        <f>IF(O123="Arizona Cardinals",1,0)</f>
        <v>0</v>
      </c>
      <c r="P112" s="1">
        <f>IF(P123="Detroit Lions",1,0)</f>
        <v>0</v>
      </c>
      <c r="Q112" s="1">
        <f>IF(Q123="Kansas City Chiefs",1,0)</f>
        <v>0</v>
      </c>
      <c r="R112" s="1">
        <f>IF(R123="Baltimore Ravens",1,0)</f>
        <v>0</v>
      </c>
      <c r="S112" s="1">
        <f>IF(S123="Tampa Bay Buccaneers",1,0)</f>
        <v>0</v>
      </c>
      <c r="T112" s="1">
        <f>IF(T123="Seattle Seahawks",1,0)</f>
        <v>0</v>
      </c>
      <c r="U112" s="1">
        <f>IF(U123="Tampa Bay Buccaneers",1,0)</f>
        <v>0</v>
      </c>
      <c r="V112" s="1">
        <f>IF(V123="Washington Commanders",1,0)</f>
        <v>0</v>
      </c>
      <c r="W112" s="1">
        <f>IF(W123="Denver Broncos",1,0)</f>
        <v>0</v>
      </c>
      <c r="X112" s="1">
        <f>IF(X123="Jacksonville Jaguars",1,0)</f>
        <v>0</v>
      </c>
      <c r="Y112" s="3">
        <f>IF(Y123="Seattle Seahawks",1,0)</f>
        <v>0</v>
      </c>
      <c r="Z112" s="214"/>
      <c r="AA112" s="213"/>
      <c r="AB112" s="404"/>
    </row>
    <row r="113" spans="1:50" x14ac:dyDescent="0.25">
      <c r="A113" s="244" t="s">
        <v>26</v>
      </c>
      <c r="B113" s="68" t="s">
        <v>39</v>
      </c>
      <c r="C113" s="69" t="s">
        <v>10</v>
      </c>
      <c r="D113" s="69" t="s">
        <v>44</v>
      </c>
      <c r="E113" s="69" t="s">
        <v>15</v>
      </c>
      <c r="F113" s="69" t="s">
        <v>38</v>
      </c>
      <c r="G113" s="69" t="s">
        <v>40</v>
      </c>
      <c r="H113" s="69" t="s">
        <v>56</v>
      </c>
      <c r="I113" s="69" t="s">
        <v>54</v>
      </c>
      <c r="J113" s="69" t="s">
        <v>55</v>
      </c>
      <c r="K113" s="69" t="s">
        <v>11</v>
      </c>
      <c r="L113" s="69" t="s">
        <v>18</v>
      </c>
      <c r="M113" s="69" t="s">
        <v>27</v>
      </c>
      <c r="N113" s="69" t="s">
        <v>21</v>
      </c>
      <c r="O113" s="69" t="s">
        <v>51</v>
      </c>
      <c r="P113" s="69" t="s">
        <v>38</v>
      </c>
      <c r="Q113" s="69" t="s">
        <v>10</v>
      </c>
      <c r="R113" s="69" t="s">
        <v>54</v>
      </c>
      <c r="S113" s="69" t="s">
        <v>50</v>
      </c>
      <c r="T113" s="70" t="s">
        <v>15</v>
      </c>
      <c r="U113" s="69" t="s">
        <v>11</v>
      </c>
      <c r="V113" s="69" t="s">
        <v>43</v>
      </c>
      <c r="W113" s="69" t="s">
        <v>12</v>
      </c>
      <c r="X113" s="69" t="s">
        <v>51</v>
      </c>
      <c r="Y113" s="69" t="s">
        <v>42</v>
      </c>
      <c r="Z113" s="243">
        <f>SUM(B114:Y114)</f>
        <v>10</v>
      </c>
      <c r="AA113" s="189"/>
      <c r="AB113" s="404"/>
    </row>
    <row r="114" spans="1:50" ht="15.75" thickBot="1" x14ac:dyDescent="0.3">
      <c r="A114" s="245"/>
      <c r="B114" s="2">
        <f>IF(B123="Philadelphia Eagles",1,0)</f>
        <v>1</v>
      </c>
      <c r="C114" s="1">
        <f>IF(C123="Kansas City Chiefs",1,0)</f>
        <v>0</v>
      </c>
      <c r="D114" s="1">
        <f>IF(D123="Minnesota Vikings",1,0)</f>
        <v>1</v>
      </c>
      <c r="E114" s="1">
        <f>IF(E123="Los Angeles Rams",1,0)</f>
        <v>1</v>
      </c>
      <c r="F114" s="1">
        <f>IF(F123="Detroit Lions",1,0)</f>
        <v>1</v>
      </c>
      <c r="G114" s="1">
        <f>IF(G123="Cincinnati Bengals",1,0)</f>
        <v>0</v>
      </c>
      <c r="H114" s="1">
        <f>IF(H123="Indianapolis Colts",1,0)</f>
        <v>1</v>
      </c>
      <c r="I114" s="1">
        <f>IF(I123="Pittsburgh Steelers",1,0)</f>
        <v>1</v>
      </c>
      <c r="J114" s="1">
        <f>IF(J123="Houston Texans",1,0)</f>
        <v>0</v>
      </c>
      <c r="K114" s="1">
        <f>IF(K123="Tampa Bay Buccaneers",1,0)</f>
        <v>1</v>
      </c>
      <c r="L114" s="1">
        <f>IF(L123="San Francisco 49ers",1,0)</f>
        <v>1</v>
      </c>
      <c r="M114" s="1">
        <f>IF(M123="Buffalo Bills",1,0)</f>
        <v>0</v>
      </c>
      <c r="N114" s="1">
        <f>IF(N123="New York Jets",1,0)</f>
        <v>0</v>
      </c>
      <c r="O114" s="1">
        <f>IF(O123="Jacksonville Jaguars",1,0)</f>
        <v>1</v>
      </c>
      <c r="P114" s="1">
        <f>IF(P123="Detroit Lions",1,0)</f>
        <v>0</v>
      </c>
      <c r="Q114" s="1">
        <f>IF(Q123="Kansas City Chiefs",1,0)</f>
        <v>0</v>
      </c>
      <c r="R114" s="1">
        <f>IF(R123="Pittsburgh Steelers",1,0)</f>
        <v>1</v>
      </c>
      <c r="S114" s="1">
        <f>IF(S123="Atlanta Falcons",1,0)</f>
        <v>0</v>
      </c>
      <c r="T114" s="1">
        <f>IF(T123="Los Angeles Rams",1,0)</f>
        <v>0</v>
      </c>
      <c r="U114" s="1">
        <f>IF(U123="Tampa Bay Buccaneers",1,0)</f>
        <v>0</v>
      </c>
      <c r="V114" s="1">
        <f>IF(V123="Washington Commanders",1,0)</f>
        <v>0</v>
      </c>
      <c r="W114" s="1">
        <f>IF(W123="Los Angeles Chargers",1,0)</f>
        <v>0</v>
      </c>
      <c r="X114" s="1">
        <f>IF(X123="Jacksonville Jaguars",1,0)</f>
        <v>0</v>
      </c>
      <c r="Y114" s="3">
        <f>IF(Y123="Seattle Seahawks",1,0)</f>
        <v>0</v>
      </c>
      <c r="Z114" s="214"/>
      <c r="AA114" s="213"/>
      <c r="AB114" s="404"/>
    </row>
    <row r="115" spans="1:50" x14ac:dyDescent="0.25">
      <c r="A115" s="255" t="s">
        <v>630</v>
      </c>
      <c r="B115" s="68" t="s">
        <v>39</v>
      </c>
      <c r="C115" s="69" t="s">
        <v>10</v>
      </c>
      <c r="D115" s="69" t="s">
        <v>53</v>
      </c>
      <c r="E115" s="69" t="s">
        <v>15</v>
      </c>
      <c r="F115" s="69" t="s">
        <v>38</v>
      </c>
      <c r="G115" s="69" t="s">
        <v>40</v>
      </c>
      <c r="H115" s="69" t="s">
        <v>56</v>
      </c>
      <c r="I115" s="69" t="s">
        <v>54</v>
      </c>
      <c r="J115" s="69" t="s">
        <v>55</v>
      </c>
      <c r="K115" s="69" t="s">
        <v>20</v>
      </c>
      <c r="L115" s="69" t="s">
        <v>18</v>
      </c>
      <c r="M115" s="69" t="s">
        <v>27</v>
      </c>
      <c r="N115" s="69" t="s">
        <v>21</v>
      </c>
      <c r="O115" s="69" t="s">
        <v>51</v>
      </c>
      <c r="P115" s="69" t="s">
        <v>38</v>
      </c>
      <c r="Q115" s="69" t="s">
        <v>10</v>
      </c>
      <c r="R115" s="69" t="s">
        <v>41</v>
      </c>
      <c r="S115" s="69" t="s">
        <v>50</v>
      </c>
      <c r="T115" s="70" t="s">
        <v>42</v>
      </c>
      <c r="U115" s="69" t="s">
        <v>11</v>
      </c>
      <c r="V115" s="69" t="s">
        <v>49</v>
      </c>
      <c r="W115" s="69" t="s">
        <v>57</v>
      </c>
      <c r="X115" s="69" t="s">
        <v>46</v>
      </c>
      <c r="Y115" s="69" t="s">
        <v>42</v>
      </c>
      <c r="Z115" s="243">
        <f>SUM(B116:Y116)</f>
        <v>7</v>
      </c>
      <c r="AA115" s="189"/>
      <c r="AB115" s="404"/>
    </row>
    <row r="116" spans="1:50" ht="15.75" thickBot="1" x14ac:dyDescent="0.3">
      <c r="A116" s="256"/>
      <c r="B116" s="2">
        <f>IF(B123="Philadelphia Eagles",1,0)</f>
        <v>1</v>
      </c>
      <c r="C116" s="1">
        <f>IF(C123="Kansas City Chiefs",1,0)</f>
        <v>0</v>
      </c>
      <c r="D116" s="1">
        <f>IF(D123="Chicago Bears",1,0)</f>
        <v>0</v>
      </c>
      <c r="E116" s="1">
        <f>IF(E123="Los Angeles Rams",1,0)</f>
        <v>1</v>
      </c>
      <c r="F116" s="1">
        <f>IF(F123="Detroit Lions",1,0)</f>
        <v>1</v>
      </c>
      <c r="G116" s="1">
        <f>IF(G123="Cincinnati Bengals",1,0)</f>
        <v>0</v>
      </c>
      <c r="H116" s="1">
        <f>IF(H123="Indianapolis Colts",1,0)</f>
        <v>1</v>
      </c>
      <c r="I116" s="1">
        <f>IF(I123="Pittsburgh Steelers",1,0)</f>
        <v>1</v>
      </c>
      <c r="J116" s="1">
        <f>IF(J123="Houston Texans",1,0)</f>
        <v>0</v>
      </c>
      <c r="K116" s="1">
        <f>IF(K123="New Orleans Saints",1,0)</f>
        <v>0</v>
      </c>
      <c r="L116" s="1">
        <f>IF(L123="San Francisco 49ers",1,0)</f>
        <v>1</v>
      </c>
      <c r="M116" s="1">
        <f>IF(M123="Buffalo Bills",1,0)</f>
        <v>0</v>
      </c>
      <c r="N116" s="1">
        <f>IF(N123="New York Jets",1,0)</f>
        <v>0</v>
      </c>
      <c r="O116" s="1">
        <f>IF(O123="Jacksonville Jaguars",1,0)</f>
        <v>1</v>
      </c>
      <c r="P116" s="1">
        <f>IF(P123="Detroit Lions",1,0)</f>
        <v>0</v>
      </c>
      <c r="Q116" s="1">
        <f>IF(Q123="Kansas City Chiefs",1,0)</f>
        <v>0</v>
      </c>
      <c r="R116" s="1">
        <f>IF(R123="Baltimore Ravens",1,0)</f>
        <v>0</v>
      </c>
      <c r="S116" s="1">
        <f>IF(S123="Atlanta Falcons",1,0)</f>
        <v>0</v>
      </c>
      <c r="T116" s="1">
        <f>IF(T123="Seattle Seahawks",1,0)</f>
        <v>0</v>
      </c>
      <c r="U116" s="1">
        <f>IF(U123="Tampa Bay Buccaneers",1,0)</f>
        <v>0</v>
      </c>
      <c r="V116" s="1">
        <f>IF(V123="Dallas Cowboys",1,0)</f>
        <v>0</v>
      </c>
      <c r="W116" s="1">
        <f>IF(W123="Denver Broncos",1,0)</f>
        <v>0</v>
      </c>
      <c r="X116" s="1">
        <f>IF(X123="Tennessee Titans",1,0)</f>
        <v>0</v>
      </c>
      <c r="Y116" s="3">
        <f>IF(Y123="Seattle Seahawks",1,0)</f>
        <v>0</v>
      </c>
      <c r="Z116" s="214"/>
      <c r="AA116" s="213"/>
      <c r="AB116" s="404"/>
    </row>
    <row r="117" spans="1:50" x14ac:dyDescent="0.25">
      <c r="A117" s="255" t="s">
        <v>633</v>
      </c>
      <c r="B117" s="68" t="s">
        <v>39</v>
      </c>
      <c r="C117" s="69" t="s">
        <v>10</v>
      </c>
      <c r="D117" s="69" t="s">
        <v>53</v>
      </c>
      <c r="E117" s="69" t="s">
        <v>15</v>
      </c>
      <c r="F117" s="69" t="s">
        <v>41</v>
      </c>
      <c r="G117" s="69" t="s">
        <v>57</v>
      </c>
      <c r="H117" s="69" t="s">
        <v>56</v>
      </c>
      <c r="I117" s="69" t="s">
        <v>54</v>
      </c>
      <c r="J117" s="69" t="s">
        <v>42</v>
      </c>
      <c r="K117" s="69" t="s">
        <v>11</v>
      </c>
      <c r="L117" s="69" t="s">
        <v>18</v>
      </c>
      <c r="M117" s="69" t="s">
        <v>27</v>
      </c>
      <c r="N117" s="69" t="s">
        <v>19</v>
      </c>
      <c r="O117" s="69" t="s">
        <v>48</v>
      </c>
      <c r="P117" s="69" t="s">
        <v>38</v>
      </c>
      <c r="Q117" s="69" t="s">
        <v>10</v>
      </c>
      <c r="R117" s="69" t="s">
        <v>41</v>
      </c>
      <c r="S117" s="69" t="s">
        <v>50</v>
      </c>
      <c r="T117" s="70" t="s">
        <v>42</v>
      </c>
      <c r="U117" s="69" t="s">
        <v>11</v>
      </c>
      <c r="V117" s="69" t="s">
        <v>43</v>
      </c>
      <c r="W117" s="69" t="s">
        <v>57</v>
      </c>
      <c r="X117" s="69" t="s">
        <v>51</v>
      </c>
      <c r="Y117" s="69" t="s">
        <v>42</v>
      </c>
      <c r="Z117" s="243">
        <f>SUM(B118:Y118)</f>
        <v>9</v>
      </c>
      <c r="AA117" s="189"/>
      <c r="AB117" s="404"/>
    </row>
    <row r="118" spans="1:50" ht="15.75" thickBot="1" x14ac:dyDescent="0.3">
      <c r="A118" s="256"/>
      <c r="B118" s="2">
        <f>IF(B123="Philadelphia Eagles",1,0)</f>
        <v>1</v>
      </c>
      <c r="C118" s="1">
        <f>IF(C123="Kansas City Chiefs",1,0)</f>
        <v>0</v>
      </c>
      <c r="D118" s="1">
        <f>IF(D123="Chicago Bears",1,0)</f>
        <v>0</v>
      </c>
      <c r="E118" s="1">
        <f>IF(E123="Los Angeles Rams",1,0)</f>
        <v>1</v>
      </c>
      <c r="F118" s="1">
        <f>IF(F123="Baltimore Ravens",1,0)</f>
        <v>0</v>
      </c>
      <c r="G118" s="1">
        <f>IF(G123="Denver Broncos",1,0)</f>
        <v>1</v>
      </c>
      <c r="H118" s="1">
        <f>IF(H123="Indianapolis Colts",1,0)</f>
        <v>1</v>
      </c>
      <c r="I118" s="1">
        <f>IF(I123="Pittsburgh Steelers",1,0)</f>
        <v>1</v>
      </c>
      <c r="J118" s="1">
        <f>IF(J123="Seattle Seahawks",1,0)</f>
        <v>1</v>
      </c>
      <c r="K118" s="1">
        <f>IF(K123="Tampa Bay Buccaneers",1,0)</f>
        <v>1</v>
      </c>
      <c r="L118" s="1">
        <f>IF(L123="San Francisco 49ers",1,0)</f>
        <v>1</v>
      </c>
      <c r="M118" s="1">
        <f>IF(M123="Buffalo Bills",1,0)</f>
        <v>0</v>
      </c>
      <c r="N118" s="1">
        <f>IF(N123="New England Patriots",1,0)</f>
        <v>1</v>
      </c>
      <c r="O118" s="1">
        <f>IF(O123="Arizona Cardinals",1,0)</f>
        <v>0</v>
      </c>
      <c r="P118" s="1">
        <f>IF(P123="Detroit Lions",1,0)</f>
        <v>0</v>
      </c>
      <c r="Q118" s="1">
        <f>IF(Q123="Kansas City Chiefs",1,0)</f>
        <v>0</v>
      </c>
      <c r="R118" s="1">
        <f>IF(R123="Baltimore Ravens",1,0)</f>
        <v>0</v>
      </c>
      <c r="S118" s="1">
        <f>IF(S123="Atlanta Falcons",1,0)</f>
        <v>0</v>
      </c>
      <c r="T118" s="1">
        <f>IF(T123="Seattle Seahawks",1,0)</f>
        <v>0</v>
      </c>
      <c r="U118" s="1">
        <f>IF(U123="Tampa Bay Buccaneers",1,0)</f>
        <v>0</v>
      </c>
      <c r="V118" s="1">
        <f>IF(V123="Washington Commanders",1,0)</f>
        <v>0</v>
      </c>
      <c r="W118" s="1">
        <f>IF(W123="Denver Broncos",1,0)</f>
        <v>0</v>
      </c>
      <c r="X118" s="1">
        <f>IF(X123="Jacksonville Jaguars",1,0)</f>
        <v>0</v>
      </c>
      <c r="Y118" s="3">
        <f>IF(Y123="Seattle Seahawks",1,0)</f>
        <v>0</v>
      </c>
      <c r="Z118" s="214"/>
      <c r="AA118" s="213"/>
      <c r="AB118" s="404"/>
    </row>
    <row r="119" spans="1:50" x14ac:dyDescent="0.25">
      <c r="A119" s="244" t="s">
        <v>634</v>
      </c>
      <c r="B119" s="68" t="s">
        <v>39</v>
      </c>
      <c r="C119" s="69" t="s">
        <v>10</v>
      </c>
      <c r="D119" s="69" t="s">
        <v>44</v>
      </c>
      <c r="E119" s="69" t="s">
        <v>15</v>
      </c>
      <c r="F119" s="69" t="s">
        <v>41</v>
      </c>
      <c r="G119" s="69" t="s">
        <v>57</v>
      </c>
      <c r="H119" s="69" t="s">
        <v>16</v>
      </c>
      <c r="I119" s="69" t="s">
        <v>54</v>
      </c>
      <c r="J119" s="69" t="s">
        <v>42</v>
      </c>
      <c r="K119" s="69" t="s">
        <v>11</v>
      </c>
      <c r="L119" s="69" t="s">
        <v>18</v>
      </c>
      <c r="M119" s="69" t="s">
        <v>45</v>
      </c>
      <c r="N119" s="69" t="s">
        <v>19</v>
      </c>
      <c r="O119" s="69" t="s">
        <v>48</v>
      </c>
      <c r="P119" s="69" t="s">
        <v>9</v>
      </c>
      <c r="Q119" s="69" t="s">
        <v>10</v>
      </c>
      <c r="R119" s="69" t="s">
        <v>41</v>
      </c>
      <c r="S119" s="69" t="s">
        <v>11</v>
      </c>
      <c r="T119" s="70" t="s">
        <v>15</v>
      </c>
      <c r="U119" s="69" t="s">
        <v>11</v>
      </c>
      <c r="V119" s="69" t="s">
        <v>43</v>
      </c>
      <c r="W119" s="69" t="s">
        <v>12</v>
      </c>
      <c r="X119" s="69" t="s">
        <v>51</v>
      </c>
      <c r="Y119" s="69" t="s">
        <v>18</v>
      </c>
      <c r="Z119" s="243">
        <f>SUM(B120:Y120)</f>
        <v>11</v>
      </c>
      <c r="AA119" s="189"/>
      <c r="AB119" s="404"/>
    </row>
    <row r="120" spans="1:50" ht="15.75" thickBot="1" x14ac:dyDescent="0.3">
      <c r="A120" s="245"/>
      <c r="B120" s="2">
        <f>IF(B123="Philadelphia Eagles",1,0)</f>
        <v>1</v>
      </c>
      <c r="C120" s="1">
        <f>IF(C123="Kansas City Chiefs",1,0)</f>
        <v>0</v>
      </c>
      <c r="D120" s="1">
        <f>IF(D123="Minnesota Vikings",1,0)</f>
        <v>1</v>
      </c>
      <c r="E120" s="1">
        <f>IF(E123="Los Angeles Rams",1,0)</f>
        <v>1</v>
      </c>
      <c r="F120" s="1">
        <f>IF(F123="Baltimore Ravens",1,0)</f>
        <v>0</v>
      </c>
      <c r="G120" s="1">
        <f>IF(G123="Denver Broncos",1,0)</f>
        <v>1</v>
      </c>
      <c r="H120" s="1">
        <f>IF(H123="Las Vegas Raiders",1,0)</f>
        <v>0</v>
      </c>
      <c r="I120" s="1">
        <f>IF(I123="Pittsburgh Steelers",1,0)</f>
        <v>1</v>
      </c>
      <c r="J120" s="1">
        <f>IF(J123="Seattle Seahawks",1,0)</f>
        <v>1</v>
      </c>
      <c r="K120" s="1">
        <f>IF(K123="Tampa Bay Buccaneers",1,0)</f>
        <v>1</v>
      </c>
      <c r="L120" s="1">
        <f>IF(L123="San Francisco 49ers",1,0)</f>
        <v>1</v>
      </c>
      <c r="M120" s="1">
        <f>IF(M123="Miami Dolphins",1,0)</f>
        <v>1</v>
      </c>
      <c r="N120" s="1">
        <f>IF(N123="New England Patriots",1,0)</f>
        <v>1</v>
      </c>
      <c r="O120" s="1">
        <f>IF(O123="Arizona Cardinals",1,0)</f>
        <v>0</v>
      </c>
      <c r="P120" s="1">
        <f>IF(P123="Green Bay Packers",1,0)</f>
        <v>1</v>
      </c>
      <c r="Q120" s="1">
        <f>IF(Q123="Kansas City Chiefs",1,0)</f>
        <v>0</v>
      </c>
      <c r="R120" s="1">
        <f>IF(R123="Baltimore Ravens",1,0)</f>
        <v>0</v>
      </c>
      <c r="S120" s="1">
        <f>IF(S123="Tampa Bay Buccaneers",1,0)</f>
        <v>0</v>
      </c>
      <c r="T120" s="1">
        <f>IF(T123="Los Angeles Rams",1,0)</f>
        <v>0</v>
      </c>
      <c r="U120" s="1">
        <f>IF(U123="Tampa Bay Buccaneers",1,0)</f>
        <v>0</v>
      </c>
      <c r="V120" s="1">
        <f>IF(V123="Washington Commanders",1,0)</f>
        <v>0</v>
      </c>
      <c r="W120" s="1">
        <f>IF(W123="Los Angeles Chargers",1,0)</f>
        <v>0</v>
      </c>
      <c r="X120" s="1">
        <f>IF(X123="Jacksonville Jaguars",1,0)</f>
        <v>0</v>
      </c>
      <c r="Y120" s="3">
        <f>IF(Y123="San Francisco 49ers",1,0)</f>
        <v>0</v>
      </c>
      <c r="Z120" s="214"/>
      <c r="AA120" s="213"/>
      <c r="AB120" s="404"/>
    </row>
    <row r="121" spans="1:50" x14ac:dyDescent="0.25">
      <c r="A121" s="244" t="s">
        <v>636</v>
      </c>
      <c r="B121" s="68" t="s">
        <v>39</v>
      </c>
      <c r="C121" s="69" t="s">
        <v>10</v>
      </c>
      <c r="D121" s="69" t="s">
        <v>53</v>
      </c>
      <c r="E121" s="69" t="s">
        <v>15</v>
      </c>
      <c r="F121" s="69" t="s">
        <v>41</v>
      </c>
      <c r="G121" s="69" t="s">
        <v>57</v>
      </c>
      <c r="H121" s="69" t="s">
        <v>56</v>
      </c>
      <c r="I121" s="69" t="s">
        <v>54</v>
      </c>
      <c r="J121" s="69" t="s">
        <v>55</v>
      </c>
      <c r="K121" s="69" t="s">
        <v>11</v>
      </c>
      <c r="L121" s="69" t="s">
        <v>18</v>
      </c>
      <c r="M121" s="69" t="s">
        <v>27</v>
      </c>
      <c r="N121" s="69" t="s">
        <v>21</v>
      </c>
      <c r="O121" s="69" t="s">
        <v>48</v>
      </c>
      <c r="P121" s="69" t="s">
        <v>38</v>
      </c>
      <c r="Q121" s="69" t="s">
        <v>10</v>
      </c>
      <c r="R121" s="69" t="s">
        <v>41</v>
      </c>
      <c r="S121" s="69" t="s">
        <v>11</v>
      </c>
      <c r="T121" s="70" t="s">
        <v>42</v>
      </c>
      <c r="U121" s="69" t="s">
        <v>11</v>
      </c>
      <c r="V121" s="69" t="s">
        <v>43</v>
      </c>
      <c r="W121" s="69" t="s">
        <v>57</v>
      </c>
      <c r="X121" s="69" t="s">
        <v>51</v>
      </c>
      <c r="Y121" s="69" t="s">
        <v>42</v>
      </c>
      <c r="Z121" s="243">
        <f>SUM(B122:Y122)</f>
        <v>7</v>
      </c>
      <c r="AA121" s="189"/>
      <c r="AB121" s="404"/>
    </row>
    <row r="122" spans="1:50" ht="15.75" thickBot="1" x14ac:dyDescent="0.3">
      <c r="A122" s="245"/>
      <c r="B122" s="2">
        <f>IF(B123="Philadelphia Eagles",1,0)</f>
        <v>1</v>
      </c>
      <c r="C122" s="1">
        <f>IF(C123="Kansas City Chiefs",1,0)</f>
        <v>0</v>
      </c>
      <c r="D122" s="1">
        <f>IF(D123="Chicago Bears",1,0)</f>
        <v>0</v>
      </c>
      <c r="E122" s="1">
        <f>IF(E123="Los Angeles Rams",1,0)</f>
        <v>1</v>
      </c>
      <c r="F122" s="1">
        <f>IF(F123="Baltimore Ravens",1,0)</f>
        <v>0</v>
      </c>
      <c r="G122" s="1">
        <f>IF(G123="Denver Broncos",1,0)</f>
        <v>1</v>
      </c>
      <c r="H122" s="1">
        <f>IF(H123="Indianapolis Colts",1,0)</f>
        <v>1</v>
      </c>
      <c r="I122" s="1">
        <f>IF(I123="Pittsburgh Steelers",1,0)</f>
        <v>1</v>
      </c>
      <c r="J122" s="1">
        <f>IF(J123="Houston Texans",1,0)</f>
        <v>0</v>
      </c>
      <c r="K122" s="1">
        <f>IF(K123="Tampa Bay Buccaneers",1,0)</f>
        <v>1</v>
      </c>
      <c r="L122" s="1">
        <f>IF(L123="San Francisco 49ers",1,0)</f>
        <v>1</v>
      </c>
      <c r="M122" s="1">
        <f>IF(M123="Buffalo Bills",1,0)</f>
        <v>0</v>
      </c>
      <c r="N122" s="1">
        <f>IF(N123="New York Jets",1,0)</f>
        <v>0</v>
      </c>
      <c r="O122" s="1">
        <f>IF(O123="Arizona Cardinals",1,0)</f>
        <v>0</v>
      </c>
      <c r="P122" s="1">
        <f>IF(P123="Detroit Lions",1,0)</f>
        <v>0</v>
      </c>
      <c r="Q122" s="1">
        <f>IF(Q123="Kansas City Chiefs",1,0)</f>
        <v>0</v>
      </c>
      <c r="R122" s="1">
        <f>IF(R123="Baltimore Ravens",1,0)</f>
        <v>0</v>
      </c>
      <c r="S122" s="1">
        <f>IF(S123="Tampa Bay Buccaneers",1,0)</f>
        <v>0</v>
      </c>
      <c r="T122" s="1">
        <f>IF(T123="Seattle Seahawks",1,0)</f>
        <v>0</v>
      </c>
      <c r="U122" s="1">
        <f>IF(U123="Tampa Bay Buccaneers",1,0)</f>
        <v>0</v>
      </c>
      <c r="V122" s="1">
        <f>IF(V123="Washington Commanders",1,0)</f>
        <v>0</v>
      </c>
      <c r="W122" s="1">
        <f>IF(W123="Denver Broncos",1,0)</f>
        <v>0</v>
      </c>
      <c r="X122" s="1">
        <f>IF(X123="Jacksonville Jaguars",1,0)</f>
        <v>0</v>
      </c>
      <c r="Y122" s="3">
        <f>IF(Y123="Seattle Seahawks",1,0)</f>
        <v>0</v>
      </c>
      <c r="Z122" s="214"/>
      <c r="AA122" s="213"/>
      <c r="AB122" s="404"/>
    </row>
    <row r="123" spans="1:50" ht="15.75" thickBot="1" x14ac:dyDescent="0.3">
      <c r="A123" s="73" t="s">
        <v>22</v>
      </c>
      <c r="B123" s="20" t="s">
        <v>89</v>
      </c>
      <c r="C123" s="20" t="s">
        <v>79</v>
      </c>
      <c r="D123" s="20" t="s">
        <v>63</v>
      </c>
      <c r="E123" s="20" t="s">
        <v>85</v>
      </c>
      <c r="F123" s="20" t="s">
        <v>78</v>
      </c>
      <c r="G123" s="20" t="s">
        <v>77</v>
      </c>
      <c r="H123" s="20" t="s">
        <v>66</v>
      </c>
      <c r="I123" s="20" t="s">
        <v>73</v>
      </c>
      <c r="J123" s="20" t="s">
        <v>81</v>
      </c>
      <c r="K123" s="20" t="s">
        <v>91</v>
      </c>
      <c r="L123" s="20" t="s">
        <v>90</v>
      </c>
      <c r="M123" s="20" t="s">
        <v>86</v>
      </c>
      <c r="N123" s="20" t="s">
        <v>76</v>
      </c>
      <c r="O123" s="20" t="s">
        <v>83</v>
      </c>
      <c r="P123" s="20" t="s">
        <v>80</v>
      </c>
      <c r="Q123" s="12" t="s">
        <v>75</v>
      </c>
      <c r="R123" s="20" t="s">
        <v>73</v>
      </c>
      <c r="S123" s="12"/>
      <c r="T123" s="20"/>
      <c r="U123" s="12"/>
      <c r="V123" s="20"/>
      <c r="W123" s="12"/>
      <c r="X123" s="20"/>
      <c r="Y123" s="12"/>
      <c r="Z123" s="47"/>
      <c r="AA123" s="46"/>
      <c r="AB123" s="405"/>
    </row>
    <row r="124" spans="1:50" ht="15.75" thickBot="1" x14ac:dyDescent="0.3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5"/>
      <c r="AO124" s="15"/>
    </row>
    <row r="125" spans="1:50" ht="16.5" customHeight="1" thickTop="1" thickBot="1" x14ac:dyDescent="0.3">
      <c r="A125" s="246" t="s">
        <v>25</v>
      </c>
      <c r="B125" s="249" t="s">
        <v>28</v>
      </c>
      <c r="C125" s="250"/>
      <c r="D125" s="250"/>
      <c r="E125" s="250"/>
      <c r="F125" s="250"/>
      <c r="G125" s="250"/>
      <c r="H125" s="250"/>
      <c r="I125" s="250"/>
      <c r="J125" s="251"/>
      <c r="K125" s="30"/>
      <c r="L125" s="249" t="s">
        <v>29</v>
      </c>
      <c r="M125" s="250"/>
      <c r="N125" s="250"/>
      <c r="O125" s="250"/>
      <c r="P125" s="250"/>
      <c r="Q125" s="250"/>
      <c r="R125" s="251"/>
      <c r="S125" s="11"/>
      <c r="T125" s="26" t="s">
        <v>30</v>
      </c>
      <c r="U125" s="27"/>
      <c r="V125" s="27"/>
      <c r="W125" s="28"/>
      <c r="X125" s="223" t="s">
        <v>33</v>
      </c>
      <c r="Y125" s="252"/>
      <c r="Z125" s="224"/>
      <c r="AA125" s="11"/>
      <c r="AB125" s="11"/>
      <c r="AC125" s="223" t="s">
        <v>35</v>
      </c>
      <c r="AD125" s="224"/>
      <c r="AE125" s="223" t="s">
        <v>34</v>
      </c>
      <c r="AF125" s="229"/>
      <c r="AG125" s="232" t="s">
        <v>31</v>
      </c>
      <c r="AH125" s="233"/>
      <c r="AI125" s="234"/>
      <c r="AJ125" s="241" t="s">
        <v>36</v>
      </c>
      <c r="AK125" s="242"/>
      <c r="AL125" s="242"/>
      <c r="AM125" s="242"/>
      <c r="AN125" s="242"/>
      <c r="AO125" s="242"/>
    </row>
    <row r="126" spans="1:50" ht="15" customHeight="1" x14ac:dyDescent="0.25">
      <c r="A126" s="247"/>
      <c r="B126" s="257" t="s">
        <v>3</v>
      </c>
      <c r="C126" s="258"/>
      <c r="D126" s="258"/>
      <c r="E126" s="258"/>
      <c r="F126" s="35"/>
      <c r="G126" s="259" t="s">
        <v>4</v>
      </c>
      <c r="H126" s="258"/>
      <c r="I126" s="258"/>
      <c r="J126" s="260"/>
      <c r="K126" s="32"/>
      <c r="L126" s="261" t="s">
        <v>3</v>
      </c>
      <c r="M126" s="262"/>
      <c r="N126" s="262"/>
      <c r="O126" s="35"/>
      <c r="P126" s="265" t="s">
        <v>4</v>
      </c>
      <c r="Q126" s="262"/>
      <c r="R126" s="266"/>
      <c r="S126" s="30"/>
      <c r="T126" s="261" t="s">
        <v>3</v>
      </c>
      <c r="U126" s="269"/>
      <c r="V126" s="265" t="s">
        <v>4</v>
      </c>
      <c r="W126" s="266"/>
      <c r="X126" s="225"/>
      <c r="Y126" s="253"/>
      <c r="Z126" s="226"/>
      <c r="AA126" s="11"/>
      <c r="AB126" s="11"/>
      <c r="AC126" s="225"/>
      <c r="AD126" s="226"/>
      <c r="AE126" s="225"/>
      <c r="AF126" s="230"/>
      <c r="AG126" s="235"/>
      <c r="AH126" s="236"/>
      <c r="AI126" s="237"/>
      <c r="AJ126" s="241"/>
      <c r="AK126" s="242"/>
      <c r="AL126" s="242"/>
      <c r="AM126" s="242"/>
      <c r="AN126" s="242"/>
      <c r="AO126" s="242"/>
      <c r="AP126" s="222" t="s">
        <v>37</v>
      </c>
      <c r="AQ126" s="222"/>
      <c r="AR126" s="222"/>
      <c r="AS126" s="222"/>
      <c r="AT126" s="222"/>
      <c r="AU126" s="222"/>
      <c r="AV126" s="222"/>
      <c r="AW126" s="222"/>
      <c r="AX126" s="222"/>
    </row>
    <row r="127" spans="1:50" ht="15.75" customHeight="1" thickBot="1" x14ac:dyDescent="0.3">
      <c r="A127" s="248"/>
      <c r="B127" s="18" t="s">
        <v>6</v>
      </c>
      <c r="C127" s="33" t="s">
        <v>5</v>
      </c>
      <c r="D127" s="19" t="s">
        <v>7</v>
      </c>
      <c r="E127" s="19" t="s">
        <v>8</v>
      </c>
      <c r="F127" s="36"/>
      <c r="G127" s="19" t="s">
        <v>6</v>
      </c>
      <c r="H127" s="19" t="s">
        <v>5</v>
      </c>
      <c r="I127" s="19" t="s">
        <v>7</v>
      </c>
      <c r="J127" s="19" t="s">
        <v>8</v>
      </c>
      <c r="K127" s="32"/>
      <c r="L127" s="263"/>
      <c r="M127" s="264"/>
      <c r="N127" s="264"/>
      <c r="O127" s="34"/>
      <c r="P127" s="267"/>
      <c r="Q127" s="264"/>
      <c r="R127" s="268"/>
      <c r="S127" s="32"/>
      <c r="T127" s="263"/>
      <c r="U127" s="270"/>
      <c r="V127" s="267"/>
      <c r="W127" s="268"/>
      <c r="X127" s="227"/>
      <c r="Y127" s="254"/>
      <c r="Z127" s="228"/>
      <c r="AA127" s="16"/>
      <c r="AB127" s="406"/>
      <c r="AC127" s="227"/>
      <c r="AD127" s="228"/>
      <c r="AE127" s="227"/>
      <c r="AF127" s="231"/>
      <c r="AG127" s="238"/>
      <c r="AH127" s="239"/>
      <c r="AI127" s="240"/>
      <c r="AJ127" s="241"/>
      <c r="AK127" s="242"/>
      <c r="AL127" s="242"/>
      <c r="AM127" s="242"/>
      <c r="AN127" s="242"/>
      <c r="AO127" s="242"/>
    </row>
    <row r="128" spans="1:50" x14ac:dyDescent="0.25">
      <c r="A128" s="84" t="s">
        <v>601</v>
      </c>
      <c r="B128" s="50" t="s">
        <v>27</v>
      </c>
      <c r="C128" s="51" t="s">
        <v>41</v>
      </c>
      <c r="D128" s="51" t="s">
        <v>55</v>
      </c>
      <c r="E128" s="51" t="s">
        <v>10</v>
      </c>
      <c r="F128" s="52"/>
      <c r="G128" s="51" t="s">
        <v>39</v>
      </c>
      <c r="H128" s="51" t="s">
        <v>38</v>
      </c>
      <c r="I128" s="51" t="s">
        <v>20</v>
      </c>
      <c r="J128" s="53" t="s">
        <v>15</v>
      </c>
      <c r="K128" s="11"/>
      <c r="L128" s="50" t="s">
        <v>12</v>
      </c>
      <c r="M128" s="51" t="s">
        <v>54</v>
      </c>
      <c r="N128" s="51" t="s">
        <v>57</v>
      </c>
      <c r="O128" s="52"/>
      <c r="P128" s="51" t="s">
        <v>11</v>
      </c>
      <c r="Q128" s="51" t="s">
        <v>18</v>
      </c>
      <c r="R128" s="53" t="s">
        <v>42</v>
      </c>
      <c r="S128" s="11"/>
      <c r="T128" s="289" t="s">
        <v>10</v>
      </c>
      <c r="U128" s="290"/>
      <c r="V128" s="291" t="s">
        <v>38</v>
      </c>
      <c r="W128" s="292"/>
      <c r="X128" s="289" t="s">
        <v>27</v>
      </c>
      <c r="Y128" s="293"/>
      <c r="Z128" s="292"/>
      <c r="AA128" s="55"/>
      <c r="AB128" s="408"/>
      <c r="AC128" s="188">
        <f>SUM(B129:Z129)</f>
        <v>0</v>
      </c>
      <c r="AD128" s="211"/>
      <c r="AE128" s="188">
        <f>Z103</f>
        <v>9</v>
      </c>
      <c r="AF128" s="189"/>
      <c r="AG128" s="191">
        <f>SUM(AC128,AE128)</f>
        <v>9</v>
      </c>
      <c r="AH128" s="192"/>
      <c r="AI128" s="193"/>
      <c r="AK128" s="197" t="e">
        <f>SUM(#REF!,AG128)</f>
        <v>#REF!</v>
      </c>
      <c r="AL128" s="197"/>
      <c r="AM128" s="197"/>
      <c r="AN128" s="197"/>
    </row>
    <row r="129" spans="1:50" ht="15.75" thickBot="1" x14ac:dyDescent="0.3">
      <c r="A129" s="81"/>
      <c r="B129" s="50"/>
      <c r="C129" s="51"/>
      <c r="D129" s="51"/>
      <c r="E129" s="51"/>
      <c r="F129" s="57"/>
      <c r="G129" s="51"/>
      <c r="H129" s="51"/>
      <c r="I129" s="51" t="s">
        <v>676</v>
      </c>
      <c r="J129" s="53"/>
      <c r="K129" s="32"/>
      <c r="L129" s="50"/>
      <c r="M129" s="51"/>
      <c r="N129" s="51"/>
      <c r="O129" s="52"/>
      <c r="P129" s="51"/>
      <c r="Q129" s="51"/>
      <c r="R129" s="53"/>
      <c r="S129" s="30"/>
      <c r="T129" s="198"/>
      <c r="U129" s="199"/>
      <c r="V129" s="200"/>
      <c r="W129" s="201"/>
      <c r="X129" s="217"/>
      <c r="Y129" s="218"/>
      <c r="Z129" s="201"/>
      <c r="AC129" s="186"/>
      <c r="AD129" s="187"/>
      <c r="AE129" s="212"/>
      <c r="AF129" s="213"/>
      <c r="AG129" s="214"/>
      <c r="AH129" s="215"/>
      <c r="AI129" s="213"/>
      <c r="AK129" s="197"/>
      <c r="AL129" s="197"/>
      <c r="AM129" s="197"/>
      <c r="AN129" s="197"/>
    </row>
    <row r="130" spans="1:50" x14ac:dyDescent="0.25">
      <c r="A130" s="83" t="s">
        <v>606</v>
      </c>
      <c r="B130" s="58" t="s">
        <v>27</v>
      </c>
      <c r="C130" s="57" t="s">
        <v>41</v>
      </c>
      <c r="D130" s="57" t="s">
        <v>55</v>
      </c>
      <c r="E130" s="57" t="s">
        <v>12</v>
      </c>
      <c r="F130" s="52"/>
      <c r="G130" s="57" t="s">
        <v>39</v>
      </c>
      <c r="H130" s="57" t="s">
        <v>9</v>
      </c>
      <c r="I130" s="57" t="s">
        <v>50</v>
      </c>
      <c r="J130" s="59" t="s">
        <v>18</v>
      </c>
      <c r="K130" s="60"/>
      <c r="L130" s="58" t="s">
        <v>10</v>
      </c>
      <c r="M130" s="57" t="s">
        <v>54</v>
      </c>
      <c r="N130" s="57" t="s">
        <v>57</v>
      </c>
      <c r="O130" s="52"/>
      <c r="P130" s="57" t="s">
        <v>38</v>
      </c>
      <c r="Q130" s="57" t="s">
        <v>11</v>
      </c>
      <c r="R130" s="59" t="s">
        <v>15</v>
      </c>
      <c r="S130" s="60"/>
      <c r="T130" s="206" t="s">
        <v>41</v>
      </c>
      <c r="U130" s="207"/>
      <c r="V130" s="208" t="s">
        <v>39</v>
      </c>
      <c r="W130" s="209"/>
      <c r="X130" s="206" t="s">
        <v>41</v>
      </c>
      <c r="Y130" s="210"/>
      <c r="Z130" s="209"/>
      <c r="AA130" s="11"/>
      <c r="AB130" s="11"/>
      <c r="AC130" s="184">
        <f>SUM(B131:Z131)</f>
        <v>0</v>
      </c>
      <c r="AD130" s="185"/>
      <c r="AE130" s="188">
        <f>Z105</f>
        <v>11</v>
      </c>
      <c r="AF130" s="189"/>
      <c r="AG130" s="191">
        <f t="shared" ref="AG130" si="15">SUM(AC130,AE130)</f>
        <v>11</v>
      </c>
      <c r="AH130" s="192"/>
      <c r="AI130" s="193"/>
      <c r="AK130" s="197" t="e">
        <f>SUM(#REF!,AG130)</f>
        <v>#REF!</v>
      </c>
      <c r="AL130" s="197"/>
      <c r="AM130" s="197"/>
      <c r="AN130" s="197"/>
    </row>
    <row r="131" spans="1:50" ht="15.75" thickBot="1" x14ac:dyDescent="0.3">
      <c r="A131" s="79"/>
      <c r="B131" s="50"/>
      <c r="C131" s="51"/>
      <c r="D131" s="51"/>
      <c r="E131" s="51"/>
      <c r="F131" s="52"/>
      <c r="G131" s="51"/>
      <c r="H131" s="51"/>
      <c r="I131" s="51" t="s">
        <v>676</v>
      </c>
      <c r="J131" s="53"/>
      <c r="K131" s="60"/>
      <c r="L131" s="50"/>
      <c r="M131" s="51"/>
      <c r="N131" s="51"/>
      <c r="O131" s="52"/>
      <c r="P131" s="51"/>
      <c r="Q131" s="51"/>
      <c r="R131" s="53"/>
      <c r="S131" s="60"/>
      <c r="T131" s="198"/>
      <c r="U131" s="199"/>
      <c r="V131" s="200"/>
      <c r="W131" s="201"/>
      <c r="X131" s="198"/>
      <c r="Y131" s="202"/>
      <c r="Z131" s="203"/>
      <c r="AA131" s="11"/>
      <c r="AB131" s="11"/>
      <c r="AC131" s="212"/>
      <c r="AD131" s="221"/>
      <c r="AE131" s="212"/>
      <c r="AF131" s="213"/>
      <c r="AG131" s="214"/>
      <c r="AH131" s="215"/>
      <c r="AI131" s="213"/>
      <c r="AK131" s="197"/>
      <c r="AL131" s="197"/>
      <c r="AM131" s="197"/>
      <c r="AN131" s="197"/>
    </row>
    <row r="132" spans="1:50" x14ac:dyDescent="0.25">
      <c r="A132" s="80" t="s">
        <v>608</v>
      </c>
      <c r="B132" s="50" t="s">
        <v>27</v>
      </c>
      <c r="C132" s="51" t="s">
        <v>41</v>
      </c>
      <c r="D132" s="51" t="s">
        <v>55</v>
      </c>
      <c r="E132" s="51" t="s">
        <v>57</v>
      </c>
      <c r="F132" s="52"/>
      <c r="G132" s="51" t="s">
        <v>39</v>
      </c>
      <c r="H132" s="51" t="s">
        <v>9</v>
      </c>
      <c r="I132" s="51" t="s">
        <v>11</v>
      </c>
      <c r="J132" s="53" t="s">
        <v>15</v>
      </c>
      <c r="K132" s="60"/>
      <c r="L132" s="50" t="s">
        <v>10</v>
      </c>
      <c r="M132" s="51" t="s">
        <v>12</v>
      </c>
      <c r="N132" s="51" t="s">
        <v>40</v>
      </c>
      <c r="O132" s="52"/>
      <c r="P132" s="51" t="s">
        <v>38</v>
      </c>
      <c r="Q132" s="51" t="s">
        <v>18</v>
      </c>
      <c r="R132" s="53" t="s">
        <v>43</v>
      </c>
      <c r="S132" s="60"/>
      <c r="T132" s="206" t="s">
        <v>27</v>
      </c>
      <c r="U132" s="207"/>
      <c r="V132" s="208" t="s">
        <v>38</v>
      </c>
      <c r="W132" s="209"/>
      <c r="X132" s="206" t="s">
        <v>27</v>
      </c>
      <c r="Y132" s="210"/>
      <c r="Z132" s="209"/>
      <c r="AA132" s="55"/>
      <c r="AB132" s="408"/>
      <c r="AC132" s="188">
        <f>SUM(B133:Z133)</f>
        <v>0</v>
      </c>
      <c r="AD132" s="211"/>
      <c r="AE132" s="188">
        <f>Z107</f>
        <v>8</v>
      </c>
      <c r="AF132" s="189"/>
      <c r="AG132" s="191">
        <f t="shared" ref="AG132" si="16">SUM(AC132,AE132)</f>
        <v>8</v>
      </c>
      <c r="AH132" s="192"/>
      <c r="AI132" s="193"/>
      <c r="AK132" s="197" t="e">
        <f>SUM(#REF!,AG132)</f>
        <v>#REF!</v>
      </c>
      <c r="AL132" s="197"/>
      <c r="AM132" s="197"/>
      <c r="AN132" s="197"/>
      <c r="AP132" s="216"/>
      <c r="AQ132" s="216"/>
      <c r="AR132" s="216"/>
      <c r="AS132" s="216"/>
      <c r="AT132" s="216"/>
      <c r="AU132" s="216"/>
      <c r="AV132" s="216"/>
      <c r="AW132" s="216"/>
      <c r="AX132" s="216"/>
    </row>
    <row r="133" spans="1:50" ht="15.75" thickBot="1" x14ac:dyDescent="0.3">
      <c r="A133" s="81"/>
      <c r="B133" s="50"/>
      <c r="C133" s="51"/>
      <c r="D133" s="51"/>
      <c r="E133" s="51"/>
      <c r="F133" s="52"/>
      <c r="G133" s="51"/>
      <c r="H133" s="51"/>
      <c r="I133" s="51"/>
      <c r="J133" s="53"/>
      <c r="K133" s="60"/>
      <c r="L133" s="50"/>
      <c r="M133" s="51"/>
      <c r="N133" s="51"/>
      <c r="O133" s="52"/>
      <c r="P133" s="51"/>
      <c r="Q133" s="51"/>
      <c r="R133" s="53" t="s">
        <v>676</v>
      </c>
      <c r="S133" s="60"/>
      <c r="T133" s="198"/>
      <c r="U133" s="199"/>
      <c r="V133" s="200"/>
      <c r="W133" s="201"/>
      <c r="X133" s="217"/>
      <c r="Y133" s="218"/>
      <c r="Z133" s="201"/>
      <c r="AA133" s="55"/>
      <c r="AB133" s="408"/>
      <c r="AC133" s="186"/>
      <c r="AD133" s="187"/>
      <c r="AE133" s="212"/>
      <c r="AF133" s="213"/>
      <c r="AG133" s="214"/>
      <c r="AH133" s="215"/>
      <c r="AI133" s="213"/>
      <c r="AK133" s="197"/>
      <c r="AL133" s="197"/>
      <c r="AM133" s="197"/>
      <c r="AN133" s="197"/>
      <c r="AP133" s="216"/>
      <c r="AQ133" s="216"/>
      <c r="AR133" s="216"/>
      <c r="AS133" s="216"/>
      <c r="AT133" s="216"/>
      <c r="AU133" s="216"/>
      <c r="AV133" s="216"/>
      <c r="AW133" s="216"/>
      <c r="AX133" s="216"/>
    </row>
    <row r="134" spans="1:50" x14ac:dyDescent="0.25">
      <c r="A134" s="78" t="s">
        <v>613</v>
      </c>
      <c r="B134" s="50" t="s">
        <v>27</v>
      </c>
      <c r="C134" s="51" t="s">
        <v>41</v>
      </c>
      <c r="D134" s="51" t="s">
        <v>55</v>
      </c>
      <c r="E134" s="51" t="s">
        <v>10</v>
      </c>
      <c r="F134" s="52"/>
      <c r="G134" s="51" t="s">
        <v>43</v>
      </c>
      <c r="H134" s="51" t="s">
        <v>38</v>
      </c>
      <c r="I134" s="51" t="s">
        <v>50</v>
      </c>
      <c r="J134" s="53" t="s">
        <v>15</v>
      </c>
      <c r="K134" s="60"/>
      <c r="L134" s="50" t="s">
        <v>40</v>
      </c>
      <c r="M134" s="51" t="s">
        <v>57</v>
      </c>
      <c r="N134" s="51" t="s">
        <v>45</v>
      </c>
      <c r="O134" s="52"/>
      <c r="P134" s="51" t="s">
        <v>39</v>
      </c>
      <c r="Q134" s="51" t="s">
        <v>9</v>
      </c>
      <c r="R134" s="53" t="s">
        <v>18</v>
      </c>
      <c r="S134" s="60"/>
      <c r="T134" s="206" t="s">
        <v>41</v>
      </c>
      <c r="U134" s="207"/>
      <c r="V134" s="208" t="s">
        <v>38</v>
      </c>
      <c r="W134" s="209"/>
      <c r="X134" s="206" t="s">
        <v>41</v>
      </c>
      <c r="Y134" s="210"/>
      <c r="Z134" s="209"/>
      <c r="AA134" s="55"/>
      <c r="AB134" s="408"/>
      <c r="AC134" s="184">
        <f>SUM(B135:Z135)</f>
        <v>0</v>
      </c>
      <c r="AD134" s="185"/>
      <c r="AE134" s="188">
        <f>Z109</f>
        <v>8</v>
      </c>
      <c r="AF134" s="189"/>
      <c r="AG134" s="191">
        <f t="shared" ref="AG134" si="17">SUM(AC134,AE134)</f>
        <v>8</v>
      </c>
      <c r="AH134" s="192"/>
      <c r="AI134" s="193"/>
      <c r="AK134" s="197" t="e">
        <f>SUM(#REF!,AG134)</f>
        <v>#REF!</v>
      </c>
      <c r="AL134" s="197"/>
      <c r="AM134" s="197"/>
      <c r="AN134" s="197"/>
    </row>
    <row r="135" spans="1:50" ht="15.75" thickBot="1" x14ac:dyDescent="0.3">
      <c r="A135" s="79"/>
      <c r="B135" s="50"/>
      <c r="C135" s="51"/>
      <c r="D135" s="51"/>
      <c r="E135" s="51"/>
      <c r="F135" s="52"/>
      <c r="G135" s="51" t="s">
        <v>676</v>
      </c>
      <c r="H135" s="51"/>
      <c r="I135" s="51" t="s">
        <v>676</v>
      </c>
      <c r="J135" s="53"/>
      <c r="K135" s="60"/>
      <c r="L135" s="50"/>
      <c r="M135" s="51"/>
      <c r="N135" s="51"/>
      <c r="O135" s="52"/>
      <c r="P135" s="51"/>
      <c r="Q135" s="51"/>
      <c r="R135" s="53"/>
      <c r="S135" s="60"/>
      <c r="T135" s="198"/>
      <c r="U135" s="199"/>
      <c r="V135" s="200"/>
      <c r="W135" s="201"/>
      <c r="X135" s="198"/>
      <c r="Y135" s="202"/>
      <c r="Z135" s="203"/>
      <c r="AA135" s="55"/>
      <c r="AB135" s="408"/>
      <c r="AC135" s="212"/>
      <c r="AD135" s="221"/>
      <c r="AE135" s="212"/>
      <c r="AF135" s="213"/>
      <c r="AG135" s="214"/>
      <c r="AH135" s="215"/>
      <c r="AI135" s="213"/>
      <c r="AK135" s="197"/>
      <c r="AL135" s="197"/>
      <c r="AM135" s="197"/>
      <c r="AN135" s="197"/>
    </row>
    <row r="136" spans="1:50" x14ac:dyDescent="0.25">
      <c r="A136" s="80" t="s">
        <v>573</v>
      </c>
      <c r="B136" s="50" t="s">
        <v>45</v>
      </c>
      <c r="C136" s="51" t="s">
        <v>41</v>
      </c>
      <c r="D136" s="51" t="s">
        <v>55</v>
      </c>
      <c r="E136" s="51" t="s">
        <v>10</v>
      </c>
      <c r="F136" s="52"/>
      <c r="G136" s="51" t="s">
        <v>39</v>
      </c>
      <c r="H136" s="51" t="s">
        <v>44</v>
      </c>
      <c r="I136" s="51" t="s">
        <v>11</v>
      </c>
      <c r="J136" s="53" t="s">
        <v>42</v>
      </c>
      <c r="K136" s="60"/>
      <c r="L136" s="50" t="s">
        <v>27</v>
      </c>
      <c r="M136" s="51" t="s">
        <v>46</v>
      </c>
      <c r="N136" s="51" t="s">
        <v>57</v>
      </c>
      <c r="O136" s="52"/>
      <c r="P136" s="51" t="s">
        <v>49</v>
      </c>
      <c r="Q136" s="51" t="s">
        <v>15</v>
      </c>
      <c r="R136" s="53" t="s">
        <v>9</v>
      </c>
      <c r="S136" s="60"/>
      <c r="T136" s="206" t="s">
        <v>10</v>
      </c>
      <c r="U136" s="207"/>
      <c r="V136" s="208" t="s">
        <v>39</v>
      </c>
      <c r="W136" s="209"/>
      <c r="X136" s="206" t="s">
        <v>10</v>
      </c>
      <c r="Y136" s="210"/>
      <c r="Z136" s="209"/>
      <c r="AA136" s="55"/>
      <c r="AB136" s="408"/>
      <c r="AC136" s="188">
        <f>SUM(B137:Z137)</f>
        <v>0</v>
      </c>
      <c r="AD136" s="211"/>
      <c r="AE136" s="188">
        <f>Z111</f>
        <v>9</v>
      </c>
      <c r="AF136" s="189"/>
      <c r="AG136" s="191">
        <f t="shared" ref="AG136" si="18">SUM(AC136,AE136)</f>
        <v>9</v>
      </c>
      <c r="AH136" s="192"/>
      <c r="AI136" s="193"/>
      <c r="AK136" s="197" t="e">
        <f>SUM(#REF!,AG136)</f>
        <v>#REF!</v>
      </c>
      <c r="AL136" s="197"/>
      <c r="AM136" s="197"/>
      <c r="AN136" s="197"/>
      <c r="AP136" s="216"/>
      <c r="AQ136" s="216"/>
      <c r="AR136" s="216"/>
      <c r="AS136" s="216"/>
      <c r="AT136" s="216"/>
      <c r="AU136" s="216"/>
      <c r="AV136" s="216"/>
      <c r="AW136" s="216"/>
      <c r="AX136" s="216"/>
    </row>
    <row r="137" spans="1:50" ht="15.75" thickBot="1" x14ac:dyDescent="0.3">
      <c r="A137" s="81"/>
      <c r="B137" s="50"/>
      <c r="C137" s="51"/>
      <c r="D137" s="51"/>
      <c r="E137" s="51"/>
      <c r="F137" s="52"/>
      <c r="G137" s="51"/>
      <c r="H137" s="51"/>
      <c r="I137" s="51"/>
      <c r="J137" s="53"/>
      <c r="K137" s="60"/>
      <c r="L137" s="50"/>
      <c r="M137" s="51" t="s">
        <v>676</v>
      </c>
      <c r="N137" s="51"/>
      <c r="O137" s="52"/>
      <c r="P137" s="51"/>
      <c r="Q137" s="51"/>
      <c r="R137" s="53"/>
      <c r="S137" s="60"/>
      <c r="T137" s="198"/>
      <c r="U137" s="199"/>
      <c r="V137" s="200"/>
      <c r="W137" s="201"/>
      <c r="X137" s="198"/>
      <c r="Y137" s="202"/>
      <c r="Z137" s="203"/>
      <c r="AA137" s="55"/>
      <c r="AB137" s="408"/>
      <c r="AC137" s="186"/>
      <c r="AD137" s="187"/>
      <c r="AE137" s="212"/>
      <c r="AF137" s="213"/>
      <c r="AG137" s="214"/>
      <c r="AH137" s="215"/>
      <c r="AI137" s="213"/>
      <c r="AK137" s="197"/>
      <c r="AL137" s="197"/>
      <c r="AM137" s="197"/>
      <c r="AN137" s="197"/>
      <c r="AP137" s="216"/>
      <c r="AQ137" s="216"/>
      <c r="AR137" s="216"/>
      <c r="AS137" s="216"/>
      <c r="AT137" s="216"/>
      <c r="AU137" s="216"/>
      <c r="AV137" s="216"/>
      <c r="AW137" s="216"/>
      <c r="AX137" s="216"/>
    </row>
    <row r="138" spans="1:50" x14ac:dyDescent="0.25">
      <c r="A138" s="204" t="s">
        <v>26</v>
      </c>
      <c r="B138" s="50" t="s">
        <v>27</v>
      </c>
      <c r="C138" s="51" t="s">
        <v>41</v>
      </c>
      <c r="D138" s="51" t="s">
        <v>55</v>
      </c>
      <c r="E138" s="51" t="s">
        <v>10</v>
      </c>
      <c r="F138" s="52"/>
      <c r="G138" s="51" t="s">
        <v>39</v>
      </c>
      <c r="H138" s="51" t="s">
        <v>38</v>
      </c>
      <c r="I138" s="51" t="s">
        <v>11</v>
      </c>
      <c r="J138" s="53" t="s">
        <v>42</v>
      </c>
      <c r="K138" s="60"/>
      <c r="L138" s="50" t="s">
        <v>45</v>
      </c>
      <c r="M138" s="51" t="s">
        <v>57</v>
      </c>
      <c r="N138" s="51" t="s">
        <v>56</v>
      </c>
      <c r="O138" s="52"/>
      <c r="P138" s="51" t="s">
        <v>44</v>
      </c>
      <c r="Q138" s="51" t="s">
        <v>15</v>
      </c>
      <c r="R138" s="53" t="s">
        <v>49</v>
      </c>
      <c r="S138" s="60"/>
      <c r="T138" s="206" t="s">
        <v>10</v>
      </c>
      <c r="U138" s="207"/>
      <c r="V138" s="208" t="s">
        <v>39</v>
      </c>
      <c r="W138" s="209"/>
      <c r="X138" s="206" t="s">
        <v>10</v>
      </c>
      <c r="Y138" s="210"/>
      <c r="Z138" s="209"/>
      <c r="AA138" s="55"/>
      <c r="AB138" s="408"/>
      <c r="AC138" s="184">
        <f>SUM(B139:Z139)</f>
        <v>0</v>
      </c>
      <c r="AD138" s="185"/>
      <c r="AE138" s="188">
        <f>Z113</f>
        <v>10</v>
      </c>
      <c r="AF138" s="189"/>
      <c r="AG138" s="191">
        <f t="shared" ref="AG138" si="19">SUM(AC138,AE138)</f>
        <v>10</v>
      </c>
      <c r="AH138" s="192"/>
      <c r="AI138" s="193"/>
      <c r="AK138" s="197" t="e">
        <f>SUM(#REF!,AG138)</f>
        <v>#REF!</v>
      </c>
      <c r="AL138" s="197"/>
      <c r="AM138" s="197"/>
      <c r="AN138" s="197"/>
      <c r="AP138" s="216"/>
      <c r="AQ138" s="216"/>
      <c r="AR138" s="216"/>
      <c r="AS138" s="216"/>
      <c r="AT138" s="216"/>
      <c r="AU138" s="216"/>
      <c r="AV138" s="216"/>
      <c r="AW138" s="216"/>
      <c r="AX138" s="216"/>
    </row>
    <row r="139" spans="1:50" ht="15.75" thickBot="1" x14ac:dyDescent="0.3">
      <c r="A139" s="205"/>
      <c r="B139" s="50"/>
      <c r="C139" s="51"/>
      <c r="D139" s="51"/>
      <c r="E139" s="51"/>
      <c r="F139" s="52"/>
      <c r="G139" s="51"/>
      <c r="H139" s="51"/>
      <c r="I139" s="51"/>
      <c r="J139" s="53"/>
      <c r="K139" s="60"/>
      <c r="L139" s="50"/>
      <c r="M139" s="51"/>
      <c r="N139" s="51"/>
      <c r="O139" s="52"/>
      <c r="P139" s="51"/>
      <c r="Q139" s="51"/>
      <c r="R139" s="53"/>
      <c r="S139" s="60"/>
      <c r="T139" s="198"/>
      <c r="U139" s="199"/>
      <c r="V139" s="200"/>
      <c r="W139" s="201"/>
      <c r="X139" s="198"/>
      <c r="Y139" s="202"/>
      <c r="Z139" s="203"/>
      <c r="AA139" s="55"/>
      <c r="AB139" s="408"/>
      <c r="AC139" s="212"/>
      <c r="AD139" s="221"/>
      <c r="AE139" s="212"/>
      <c r="AF139" s="213"/>
      <c r="AG139" s="214"/>
      <c r="AH139" s="215"/>
      <c r="AI139" s="213"/>
      <c r="AK139" s="197"/>
      <c r="AL139" s="197"/>
      <c r="AM139" s="197"/>
      <c r="AN139" s="197"/>
      <c r="AP139" s="216"/>
      <c r="AQ139" s="216"/>
      <c r="AR139" s="216"/>
      <c r="AS139" s="216"/>
      <c r="AT139" s="216"/>
      <c r="AU139" s="216"/>
      <c r="AV139" s="216"/>
      <c r="AW139" s="216"/>
      <c r="AX139" s="216"/>
    </row>
    <row r="140" spans="1:50" x14ac:dyDescent="0.25">
      <c r="A140" s="219" t="s">
        <v>630</v>
      </c>
      <c r="B140" s="50" t="s">
        <v>27</v>
      </c>
      <c r="C140" s="51" t="s">
        <v>40</v>
      </c>
      <c r="D140" s="51" t="s">
        <v>55</v>
      </c>
      <c r="E140" s="51" t="s">
        <v>10</v>
      </c>
      <c r="F140" s="52"/>
      <c r="G140" s="51" t="s">
        <v>39</v>
      </c>
      <c r="H140" s="51" t="s">
        <v>38</v>
      </c>
      <c r="I140" s="51" t="s">
        <v>50</v>
      </c>
      <c r="J140" s="53" t="s">
        <v>42</v>
      </c>
      <c r="K140" s="60"/>
      <c r="L140" s="50" t="s">
        <v>54</v>
      </c>
      <c r="M140" s="51" t="s">
        <v>46</v>
      </c>
      <c r="N140" s="51" t="s">
        <v>12</v>
      </c>
      <c r="O140" s="52"/>
      <c r="P140" s="51" t="s">
        <v>43</v>
      </c>
      <c r="Q140" s="51" t="s">
        <v>9</v>
      </c>
      <c r="R140" s="53" t="s">
        <v>15</v>
      </c>
      <c r="S140" s="60"/>
      <c r="T140" s="206" t="s">
        <v>27</v>
      </c>
      <c r="U140" s="207"/>
      <c r="V140" s="208" t="s">
        <v>39</v>
      </c>
      <c r="W140" s="209"/>
      <c r="X140" s="206" t="s">
        <v>27</v>
      </c>
      <c r="Y140" s="210"/>
      <c r="Z140" s="209"/>
      <c r="AA140" s="55"/>
      <c r="AB140" s="408"/>
      <c r="AC140" s="188">
        <f>SUM(B141:Z141)</f>
        <v>0</v>
      </c>
      <c r="AD140" s="211"/>
      <c r="AE140" s="188">
        <f>Z115</f>
        <v>7</v>
      </c>
      <c r="AF140" s="189"/>
      <c r="AG140" s="191">
        <f t="shared" ref="AG140" si="20">SUM(AC140,AE140)</f>
        <v>7</v>
      </c>
      <c r="AH140" s="192"/>
      <c r="AI140" s="193"/>
      <c r="AK140" s="197" t="e">
        <f>SUM(#REF!,AG140)</f>
        <v>#REF!</v>
      </c>
      <c r="AL140" s="197"/>
      <c r="AM140" s="197"/>
      <c r="AN140" s="197"/>
      <c r="AP140" s="216"/>
      <c r="AQ140" s="216"/>
      <c r="AR140" s="216"/>
      <c r="AS140" s="216"/>
      <c r="AT140" s="216"/>
      <c r="AU140" s="216"/>
      <c r="AV140" s="216"/>
      <c r="AW140" s="216"/>
      <c r="AX140" s="216"/>
    </row>
    <row r="141" spans="1:50" ht="15.75" thickBot="1" x14ac:dyDescent="0.3">
      <c r="A141" s="220"/>
      <c r="B141" s="50"/>
      <c r="C141" s="51"/>
      <c r="D141" s="51"/>
      <c r="E141" s="51"/>
      <c r="F141" s="52"/>
      <c r="G141" s="51"/>
      <c r="H141" s="51"/>
      <c r="I141" s="51" t="s">
        <v>676</v>
      </c>
      <c r="J141" s="53"/>
      <c r="K141" s="60"/>
      <c r="L141" s="50"/>
      <c r="M141" s="51" t="s">
        <v>676</v>
      </c>
      <c r="N141" s="51"/>
      <c r="O141" s="52"/>
      <c r="P141" s="51" t="s">
        <v>676</v>
      </c>
      <c r="Q141" s="51"/>
      <c r="R141" s="53"/>
      <c r="S141" s="60"/>
      <c r="T141" s="198"/>
      <c r="U141" s="199"/>
      <c r="V141" s="200"/>
      <c r="W141" s="201"/>
      <c r="X141" s="217"/>
      <c r="Y141" s="218"/>
      <c r="Z141" s="201"/>
      <c r="AA141" s="55"/>
      <c r="AB141" s="408"/>
      <c r="AC141" s="186"/>
      <c r="AD141" s="187"/>
      <c r="AE141" s="212"/>
      <c r="AF141" s="213"/>
      <c r="AG141" s="214"/>
      <c r="AH141" s="215"/>
      <c r="AI141" s="213"/>
      <c r="AK141" s="197"/>
      <c r="AL141" s="197"/>
      <c r="AM141" s="197"/>
      <c r="AN141" s="197"/>
      <c r="AP141" s="216"/>
      <c r="AQ141" s="216"/>
      <c r="AR141" s="216"/>
      <c r="AS141" s="216"/>
      <c r="AT141" s="216"/>
      <c r="AU141" s="216"/>
      <c r="AV141" s="216"/>
      <c r="AW141" s="216"/>
      <c r="AX141" s="216"/>
    </row>
    <row r="142" spans="1:50" x14ac:dyDescent="0.25">
      <c r="A142" s="219" t="s">
        <v>633</v>
      </c>
      <c r="B142" s="50" t="s">
        <v>27</v>
      </c>
      <c r="C142" s="51" t="s">
        <v>41</v>
      </c>
      <c r="D142" s="51" t="s">
        <v>51</v>
      </c>
      <c r="E142" s="51" t="s">
        <v>57</v>
      </c>
      <c r="F142" s="52"/>
      <c r="G142" s="51" t="s">
        <v>39</v>
      </c>
      <c r="H142" s="51" t="s">
        <v>9</v>
      </c>
      <c r="I142" s="51" t="s">
        <v>50</v>
      </c>
      <c r="J142" s="53" t="s">
        <v>48</v>
      </c>
      <c r="K142" s="60"/>
      <c r="L142" s="50" t="s">
        <v>10</v>
      </c>
      <c r="M142" s="51" t="s">
        <v>19</v>
      </c>
      <c r="N142" s="51" t="s">
        <v>55</v>
      </c>
      <c r="O142" s="52"/>
      <c r="P142" s="51" t="s">
        <v>38</v>
      </c>
      <c r="Q142" s="51" t="s">
        <v>15</v>
      </c>
      <c r="R142" s="53" t="s">
        <v>11</v>
      </c>
      <c r="S142" s="60"/>
      <c r="T142" s="206" t="s">
        <v>41</v>
      </c>
      <c r="U142" s="207"/>
      <c r="V142" s="208" t="s">
        <v>39</v>
      </c>
      <c r="W142" s="209"/>
      <c r="X142" s="206" t="s">
        <v>41</v>
      </c>
      <c r="Y142" s="210"/>
      <c r="Z142" s="209"/>
      <c r="AA142" s="55"/>
      <c r="AB142" s="408"/>
      <c r="AC142" s="184">
        <f t="shared" ref="AC142" si="21">SUM(B143:Z143)</f>
        <v>0</v>
      </c>
      <c r="AD142" s="185"/>
      <c r="AE142" s="188">
        <f t="shared" ref="AE142" si="22">Z117</f>
        <v>9</v>
      </c>
      <c r="AF142" s="189"/>
      <c r="AG142" s="191">
        <f>SUM(AC142,AE142)</f>
        <v>9</v>
      </c>
      <c r="AH142" s="192"/>
      <c r="AI142" s="193"/>
      <c r="AK142" s="197" t="e">
        <f>SUM(#REF!,AG142)</f>
        <v>#REF!</v>
      </c>
      <c r="AL142" s="197"/>
      <c r="AM142" s="197"/>
      <c r="AN142" s="197"/>
    </row>
    <row r="143" spans="1:50" ht="15.75" thickBot="1" x14ac:dyDescent="0.3">
      <c r="A143" s="220"/>
      <c r="B143" s="50"/>
      <c r="C143" s="51"/>
      <c r="D143" s="51"/>
      <c r="E143" s="51"/>
      <c r="F143" s="52"/>
      <c r="G143" s="51"/>
      <c r="H143" s="51"/>
      <c r="I143" s="51" t="s">
        <v>676</v>
      </c>
      <c r="J143" s="53" t="s">
        <v>676</v>
      </c>
      <c r="K143" s="60"/>
      <c r="L143" s="50"/>
      <c r="M143" s="51"/>
      <c r="N143" s="51"/>
      <c r="O143" s="52"/>
      <c r="P143" s="51"/>
      <c r="Q143" s="51"/>
      <c r="R143" s="53"/>
      <c r="S143" s="60"/>
      <c r="T143" s="198"/>
      <c r="U143" s="199"/>
      <c r="V143" s="200"/>
      <c r="W143" s="201"/>
      <c r="X143" s="198"/>
      <c r="Y143" s="202"/>
      <c r="Z143" s="203"/>
      <c r="AA143" s="55"/>
      <c r="AB143" s="408"/>
      <c r="AC143" s="212"/>
      <c r="AD143" s="221"/>
      <c r="AE143" s="212"/>
      <c r="AF143" s="213"/>
      <c r="AG143" s="214"/>
      <c r="AH143" s="215"/>
      <c r="AI143" s="213"/>
      <c r="AK143" s="197"/>
      <c r="AL143" s="197"/>
      <c r="AM143" s="197"/>
      <c r="AN143" s="197"/>
    </row>
    <row r="144" spans="1:50" x14ac:dyDescent="0.25">
      <c r="A144" s="204" t="s">
        <v>634</v>
      </c>
      <c r="B144" s="50" t="s">
        <v>45</v>
      </c>
      <c r="C144" s="51" t="s">
        <v>41</v>
      </c>
      <c r="D144" s="51" t="s">
        <v>55</v>
      </c>
      <c r="E144" s="51" t="s">
        <v>10</v>
      </c>
      <c r="F144" s="52"/>
      <c r="G144" s="51" t="s">
        <v>39</v>
      </c>
      <c r="H144" s="51" t="s">
        <v>44</v>
      </c>
      <c r="I144" s="51" t="s">
        <v>50</v>
      </c>
      <c r="J144" s="53" t="s">
        <v>15</v>
      </c>
      <c r="K144" s="60"/>
      <c r="L144" s="50" t="s">
        <v>27</v>
      </c>
      <c r="M144" s="51" t="s">
        <v>54</v>
      </c>
      <c r="N144" s="51" t="s">
        <v>57</v>
      </c>
      <c r="O144" s="52"/>
      <c r="P144" s="51" t="s">
        <v>9</v>
      </c>
      <c r="Q144" s="51" t="s">
        <v>11</v>
      </c>
      <c r="R144" s="53" t="s">
        <v>42</v>
      </c>
      <c r="S144" s="60"/>
      <c r="T144" s="206" t="s">
        <v>41</v>
      </c>
      <c r="U144" s="207"/>
      <c r="V144" s="208" t="s">
        <v>39</v>
      </c>
      <c r="W144" s="209"/>
      <c r="X144" s="206" t="s">
        <v>39</v>
      </c>
      <c r="Y144" s="210"/>
      <c r="Z144" s="209"/>
      <c r="AA144" s="55"/>
      <c r="AB144" s="408"/>
      <c r="AC144" s="188">
        <f t="shared" ref="AC144" si="23">SUM(B145:Z145)</f>
        <v>0</v>
      </c>
      <c r="AD144" s="211"/>
      <c r="AE144" s="188">
        <f t="shared" ref="AE144" si="24">Z119</f>
        <v>11</v>
      </c>
      <c r="AF144" s="189"/>
      <c r="AG144" s="191">
        <f>SUM(AC144,AE144)</f>
        <v>11</v>
      </c>
      <c r="AH144" s="192"/>
      <c r="AI144" s="193"/>
      <c r="AK144" s="197" t="e">
        <f>SUM(#REF!,AG144)</f>
        <v>#REF!</v>
      </c>
      <c r="AL144" s="197"/>
      <c r="AM144" s="197"/>
      <c r="AN144" s="197"/>
      <c r="AP144" s="216"/>
      <c r="AQ144" s="216"/>
      <c r="AR144" s="216"/>
      <c r="AS144" s="216"/>
      <c r="AT144" s="216"/>
      <c r="AU144" s="216"/>
      <c r="AV144" s="216"/>
      <c r="AW144" s="216"/>
      <c r="AX144" s="216"/>
    </row>
    <row r="145" spans="1:50" ht="15.75" thickBot="1" x14ac:dyDescent="0.3">
      <c r="A145" s="205"/>
      <c r="B145" s="50"/>
      <c r="C145" s="51"/>
      <c r="D145" s="51"/>
      <c r="E145" s="51"/>
      <c r="F145" s="52"/>
      <c r="G145" s="51"/>
      <c r="H145" s="51"/>
      <c r="I145" s="51" t="s">
        <v>676</v>
      </c>
      <c r="J145" s="53"/>
      <c r="K145" s="60"/>
      <c r="L145" s="50"/>
      <c r="M145" s="51"/>
      <c r="N145" s="51"/>
      <c r="O145" s="52"/>
      <c r="P145" s="51"/>
      <c r="Q145" s="51"/>
      <c r="R145" s="53"/>
      <c r="S145" s="60"/>
      <c r="T145" s="198"/>
      <c r="U145" s="199"/>
      <c r="V145" s="200"/>
      <c r="W145" s="201"/>
      <c r="X145" s="217"/>
      <c r="Y145" s="218"/>
      <c r="Z145" s="201"/>
      <c r="AA145" s="55"/>
      <c r="AB145" s="408"/>
      <c r="AC145" s="186"/>
      <c r="AD145" s="187"/>
      <c r="AE145" s="212"/>
      <c r="AF145" s="213"/>
      <c r="AG145" s="214"/>
      <c r="AH145" s="215"/>
      <c r="AI145" s="213"/>
      <c r="AK145" s="197"/>
      <c r="AL145" s="197"/>
      <c r="AM145" s="197"/>
      <c r="AN145" s="197"/>
      <c r="AP145" s="216"/>
      <c r="AQ145" s="216"/>
      <c r="AR145" s="216"/>
      <c r="AS145" s="216"/>
      <c r="AT145" s="216"/>
      <c r="AU145" s="216"/>
      <c r="AV145" s="216"/>
      <c r="AW145" s="216"/>
      <c r="AX145" s="216"/>
    </row>
    <row r="146" spans="1:50" x14ac:dyDescent="0.25">
      <c r="A146" s="204" t="s">
        <v>636</v>
      </c>
      <c r="B146" s="50" t="s">
        <v>27</v>
      </c>
      <c r="C146" s="51" t="s">
        <v>40</v>
      </c>
      <c r="D146" s="51" t="s">
        <v>55</v>
      </c>
      <c r="E146" s="51" t="s">
        <v>10</v>
      </c>
      <c r="F146" s="52"/>
      <c r="G146" s="51" t="s">
        <v>39</v>
      </c>
      <c r="H146" s="51" t="s">
        <v>9</v>
      </c>
      <c r="I146" s="51" t="s">
        <v>11</v>
      </c>
      <c r="J146" s="53" t="s">
        <v>42</v>
      </c>
      <c r="K146" s="60"/>
      <c r="L146" s="50" t="s">
        <v>12</v>
      </c>
      <c r="M146" s="51" t="s">
        <v>54</v>
      </c>
      <c r="N146" s="51" t="s">
        <v>56</v>
      </c>
      <c r="O146" s="52"/>
      <c r="P146" s="51" t="s">
        <v>43</v>
      </c>
      <c r="Q146" s="51" t="s">
        <v>15</v>
      </c>
      <c r="R146" s="53" t="s">
        <v>9</v>
      </c>
      <c r="S146" s="60"/>
      <c r="T146" s="206" t="s">
        <v>27</v>
      </c>
      <c r="U146" s="207"/>
      <c r="V146" s="208" t="s">
        <v>39</v>
      </c>
      <c r="W146" s="209"/>
      <c r="X146" s="206" t="s">
        <v>27</v>
      </c>
      <c r="Y146" s="210"/>
      <c r="Z146" s="209"/>
      <c r="AA146" s="55"/>
      <c r="AB146" s="408"/>
      <c r="AC146" s="184">
        <f t="shared" ref="AC146" si="25">SUM(B147:Z147)</f>
        <v>0</v>
      </c>
      <c r="AD146" s="185"/>
      <c r="AE146" s="188">
        <f t="shared" ref="AE146" si="26">Z121</f>
        <v>7</v>
      </c>
      <c r="AF146" s="189"/>
      <c r="AG146" s="191">
        <f>SUM(AC146,AE146)</f>
        <v>7</v>
      </c>
      <c r="AH146" s="192"/>
      <c r="AI146" s="193"/>
      <c r="AK146" s="197" t="e">
        <f>SUM(#REF!,AG146)</f>
        <v>#REF!</v>
      </c>
      <c r="AL146" s="197"/>
      <c r="AM146" s="197"/>
      <c r="AN146" s="197"/>
    </row>
    <row r="147" spans="1:50" ht="15.75" thickBot="1" x14ac:dyDescent="0.3">
      <c r="A147" s="205"/>
      <c r="B147" s="50"/>
      <c r="C147" s="51"/>
      <c r="D147" s="51"/>
      <c r="E147" s="51"/>
      <c r="F147" s="52"/>
      <c r="G147" s="51"/>
      <c r="H147" s="51"/>
      <c r="I147" s="51"/>
      <c r="J147" s="53"/>
      <c r="K147" s="60"/>
      <c r="L147" s="50"/>
      <c r="M147" s="51"/>
      <c r="N147" s="51"/>
      <c r="O147" s="52"/>
      <c r="P147" s="51" t="s">
        <v>676</v>
      </c>
      <c r="Q147" s="51"/>
      <c r="R147" s="53"/>
      <c r="S147" s="60"/>
      <c r="T147" s="198"/>
      <c r="U147" s="199"/>
      <c r="V147" s="200"/>
      <c r="W147" s="201"/>
      <c r="X147" s="198"/>
      <c r="Y147" s="202"/>
      <c r="Z147" s="203"/>
      <c r="AA147" s="55"/>
      <c r="AB147" s="408"/>
      <c r="AC147" s="186"/>
      <c r="AD147" s="187"/>
      <c r="AE147" s="186"/>
      <c r="AF147" s="190"/>
      <c r="AG147" s="194"/>
      <c r="AH147" s="195"/>
      <c r="AI147" s="196"/>
      <c r="AK147" s="197"/>
      <c r="AL147" s="197"/>
      <c r="AM147" s="197"/>
      <c r="AN147" s="197"/>
    </row>
  </sheetData>
  <mergeCells count="445">
    <mergeCell ref="T137:U137"/>
    <mergeCell ref="V137:W137"/>
    <mergeCell ref="X137:Z137"/>
    <mergeCell ref="T79:U79"/>
    <mergeCell ref="V79:W79"/>
    <mergeCell ref="X79:Z79"/>
    <mergeCell ref="T80:U80"/>
    <mergeCell ref="V80:W80"/>
    <mergeCell ref="X80:Z80"/>
    <mergeCell ref="T81:U81"/>
    <mergeCell ref="V81:W81"/>
    <mergeCell ref="X81:Z81"/>
    <mergeCell ref="T83:U83"/>
    <mergeCell ref="V83:W83"/>
    <mergeCell ref="X83:Z83"/>
    <mergeCell ref="T82:U82"/>
    <mergeCell ref="V82:W82"/>
    <mergeCell ref="X82:Z82"/>
    <mergeCell ref="T84:U84"/>
    <mergeCell ref="V84:W84"/>
    <mergeCell ref="X84:Z84"/>
    <mergeCell ref="T85:U85"/>
    <mergeCell ref="V85:W85"/>
    <mergeCell ref="X85:Z85"/>
    <mergeCell ref="T134:U134"/>
    <mergeCell ref="V134:W134"/>
    <mergeCell ref="X134:Z134"/>
    <mergeCell ref="T136:U136"/>
    <mergeCell ref="V136:W136"/>
    <mergeCell ref="X136:Z136"/>
    <mergeCell ref="T129:U129"/>
    <mergeCell ref="V129:W129"/>
    <mergeCell ref="X129:Z129"/>
    <mergeCell ref="T131:U131"/>
    <mergeCell ref="V131:W131"/>
    <mergeCell ref="X131:Z131"/>
    <mergeCell ref="T133:U133"/>
    <mergeCell ref="V133:W133"/>
    <mergeCell ref="X133:Z133"/>
    <mergeCell ref="T135:U135"/>
    <mergeCell ref="V135:W135"/>
    <mergeCell ref="X135:Z135"/>
    <mergeCell ref="T128:U128"/>
    <mergeCell ref="V128:W128"/>
    <mergeCell ref="X128:Z128"/>
    <mergeCell ref="T130:U130"/>
    <mergeCell ref="V130:W130"/>
    <mergeCell ref="X130:Z130"/>
    <mergeCell ref="T132:U132"/>
    <mergeCell ref="V132:W132"/>
    <mergeCell ref="X132:Z132"/>
    <mergeCell ref="AP95:AX96"/>
    <mergeCell ref="AE95:AF96"/>
    <mergeCell ref="AC95:AD96"/>
    <mergeCell ref="AK91:AN92"/>
    <mergeCell ref="AP91:AX92"/>
    <mergeCell ref="T94:U94"/>
    <mergeCell ref="V94:W94"/>
    <mergeCell ref="X94:Z94"/>
    <mergeCell ref="AK93:AN94"/>
    <mergeCell ref="A91:A92"/>
    <mergeCell ref="AG95:AI96"/>
    <mergeCell ref="AC46:AD47"/>
    <mergeCell ref="D51:E51"/>
    <mergeCell ref="I51:J51"/>
    <mergeCell ref="N51:O51"/>
    <mergeCell ref="Z51:AA53"/>
    <mergeCell ref="X34:Z34"/>
    <mergeCell ref="AK95:AN96"/>
    <mergeCell ref="AG85:AI86"/>
    <mergeCell ref="AG89:AI90"/>
    <mergeCell ref="AK89:AN90"/>
    <mergeCell ref="AE85:AF86"/>
    <mergeCell ref="AC85:AD86"/>
    <mergeCell ref="AG87:AI88"/>
    <mergeCell ref="AG81:AI82"/>
    <mergeCell ref="AK81:AN82"/>
    <mergeCell ref="T86:U86"/>
    <mergeCell ref="V86:W86"/>
    <mergeCell ref="X86:Z86"/>
    <mergeCell ref="T87:U87"/>
    <mergeCell ref="V87:W87"/>
    <mergeCell ref="X87:Z87"/>
    <mergeCell ref="T88:U88"/>
    <mergeCell ref="A95:A96"/>
    <mergeCell ref="T95:U95"/>
    <mergeCell ref="V95:W95"/>
    <mergeCell ref="X95:Z95"/>
    <mergeCell ref="A93:A94"/>
    <mergeCell ref="T93:U93"/>
    <mergeCell ref="V93:W93"/>
    <mergeCell ref="X93:Z93"/>
    <mergeCell ref="AG93:AI94"/>
    <mergeCell ref="T96:U96"/>
    <mergeCell ref="V96:W96"/>
    <mergeCell ref="X96:Z96"/>
    <mergeCell ref="AE93:AF94"/>
    <mergeCell ref="AC93:AD94"/>
    <mergeCell ref="AP83:AX84"/>
    <mergeCell ref="AK85:AN86"/>
    <mergeCell ref="AP89:AX90"/>
    <mergeCell ref="T92:U92"/>
    <mergeCell ref="V92:W92"/>
    <mergeCell ref="X92:Z92"/>
    <mergeCell ref="AK87:AN88"/>
    <mergeCell ref="AP87:AX88"/>
    <mergeCell ref="AC89:AD90"/>
    <mergeCell ref="AE89:AF90"/>
    <mergeCell ref="AE87:AF88"/>
    <mergeCell ref="AC87:AD88"/>
    <mergeCell ref="T91:U91"/>
    <mergeCell ref="V91:W91"/>
    <mergeCell ref="X91:Z91"/>
    <mergeCell ref="AG91:AI92"/>
    <mergeCell ref="AC91:AD92"/>
    <mergeCell ref="AE91:AF92"/>
    <mergeCell ref="V88:W88"/>
    <mergeCell ref="X88:Z88"/>
    <mergeCell ref="T89:U89"/>
    <mergeCell ref="V89:W89"/>
    <mergeCell ref="X89:Z89"/>
    <mergeCell ref="T90:U90"/>
    <mergeCell ref="AP77:AX77"/>
    <mergeCell ref="AG79:AI80"/>
    <mergeCell ref="AK79:AN80"/>
    <mergeCell ref="AG76:AI78"/>
    <mergeCell ref="AJ76:AO78"/>
    <mergeCell ref="B77:E77"/>
    <mergeCell ref="G77:J77"/>
    <mergeCell ref="L77:N78"/>
    <mergeCell ref="P77:R78"/>
    <mergeCell ref="T77:U78"/>
    <mergeCell ref="V77:W78"/>
    <mergeCell ref="A72:A73"/>
    <mergeCell ref="Z72:AA73"/>
    <mergeCell ref="AE76:AF78"/>
    <mergeCell ref="AC79:AD80"/>
    <mergeCell ref="A66:A67"/>
    <mergeCell ref="A68:A69"/>
    <mergeCell ref="A70:A71"/>
    <mergeCell ref="AE79:AF80"/>
    <mergeCell ref="Z66:AA67"/>
    <mergeCell ref="Z68:AA69"/>
    <mergeCell ref="Z70:AA71"/>
    <mergeCell ref="A76:A78"/>
    <mergeCell ref="B76:J76"/>
    <mergeCell ref="L76:R76"/>
    <mergeCell ref="X76:Z78"/>
    <mergeCell ref="AC76:AD78"/>
    <mergeCell ref="Z54:AA55"/>
    <mergeCell ref="Z56:AA57"/>
    <mergeCell ref="Z58:AA59"/>
    <mergeCell ref="Z60:AA61"/>
    <mergeCell ref="Z62:AA63"/>
    <mergeCell ref="Z64:AA65"/>
    <mergeCell ref="AP46:AX47"/>
    <mergeCell ref="T47:U47"/>
    <mergeCell ref="V47:W47"/>
    <mergeCell ref="X47:Z47"/>
    <mergeCell ref="AC48:AD49"/>
    <mergeCell ref="AE48:AF49"/>
    <mergeCell ref="AG48:AI49"/>
    <mergeCell ref="AK48:AN49"/>
    <mergeCell ref="A51:A52"/>
    <mergeCell ref="AE46:AF47"/>
    <mergeCell ref="AK44:AN45"/>
    <mergeCell ref="T45:U45"/>
    <mergeCell ref="V45:W45"/>
    <mergeCell ref="X45:Z45"/>
    <mergeCell ref="A46:A47"/>
    <mergeCell ref="T46:U46"/>
    <mergeCell ref="V46:W46"/>
    <mergeCell ref="X46:Z46"/>
    <mergeCell ref="AG46:AI47"/>
    <mergeCell ref="A44:A45"/>
    <mergeCell ref="T44:U44"/>
    <mergeCell ref="V44:W44"/>
    <mergeCell ref="X44:Z44"/>
    <mergeCell ref="AG44:AI45"/>
    <mergeCell ref="AE44:AF45"/>
    <mergeCell ref="AC44:AD45"/>
    <mergeCell ref="AK46:AN47"/>
    <mergeCell ref="A48:A49"/>
    <mergeCell ref="X49:Z49"/>
    <mergeCell ref="AP42:AX43"/>
    <mergeCell ref="T43:U43"/>
    <mergeCell ref="V43:W43"/>
    <mergeCell ref="X43:Z43"/>
    <mergeCell ref="AK40:AN41"/>
    <mergeCell ref="AP40:AX41"/>
    <mergeCell ref="T41:U41"/>
    <mergeCell ref="V41:W41"/>
    <mergeCell ref="X41:Z41"/>
    <mergeCell ref="AG40:AI41"/>
    <mergeCell ref="AE40:AF41"/>
    <mergeCell ref="AE42:AF43"/>
    <mergeCell ref="AC40:AD41"/>
    <mergeCell ref="AC42:AD43"/>
    <mergeCell ref="A42:A43"/>
    <mergeCell ref="T42:U42"/>
    <mergeCell ref="V42:W42"/>
    <mergeCell ref="X42:Z42"/>
    <mergeCell ref="A40:A41"/>
    <mergeCell ref="T40:U40"/>
    <mergeCell ref="V40:W40"/>
    <mergeCell ref="X40:Z40"/>
    <mergeCell ref="A36:A37"/>
    <mergeCell ref="A38:A39"/>
    <mergeCell ref="T38:U38"/>
    <mergeCell ref="V38:W38"/>
    <mergeCell ref="X38:Z38"/>
    <mergeCell ref="V36:W36"/>
    <mergeCell ref="X36:Z36"/>
    <mergeCell ref="AP38:AX39"/>
    <mergeCell ref="T39:U39"/>
    <mergeCell ref="V39:W39"/>
    <mergeCell ref="X39:Z39"/>
    <mergeCell ref="AG32:AI33"/>
    <mergeCell ref="AG36:AI37"/>
    <mergeCell ref="AK36:AN37"/>
    <mergeCell ref="T37:U37"/>
    <mergeCell ref="V37:W37"/>
    <mergeCell ref="X37:Z37"/>
    <mergeCell ref="T36:U36"/>
    <mergeCell ref="AK34:AN35"/>
    <mergeCell ref="V35:W35"/>
    <mergeCell ref="X35:Z35"/>
    <mergeCell ref="AE36:AF37"/>
    <mergeCell ref="AE38:AF39"/>
    <mergeCell ref="AC36:AD37"/>
    <mergeCell ref="AC38:AD39"/>
    <mergeCell ref="AG38:AI39"/>
    <mergeCell ref="AK38:AN39"/>
    <mergeCell ref="Z9:AA10"/>
    <mergeCell ref="A11:A12"/>
    <mergeCell ref="Z11:AA12"/>
    <mergeCell ref="AP30:AY31"/>
    <mergeCell ref="AP32:AY33"/>
    <mergeCell ref="AP34:AY35"/>
    <mergeCell ref="T33:U33"/>
    <mergeCell ref="V33:W33"/>
    <mergeCell ref="X33:Z33"/>
    <mergeCell ref="V31:W31"/>
    <mergeCell ref="X31:Z31"/>
    <mergeCell ref="AC27:AD29"/>
    <mergeCell ref="AE27:AF29"/>
    <mergeCell ref="A19:A20"/>
    <mergeCell ref="T28:U29"/>
    <mergeCell ref="V28:W29"/>
    <mergeCell ref="Z19:AA20"/>
    <mergeCell ref="A21:A22"/>
    <mergeCell ref="Z21:AA22"/>
    <mergeCell ref="A27:A29"/>
    <mergeCell ref="B27:J27"/>
    <mergeCell ref="L27:R27"/>
    <mergeCell ref="X27:Z29"/>
    <mergeCell ref="T35:U35"/>
    <mergeCell ref="A2:A3"/>
    <mergeCell ref="D2:E2"/>
    <mergeCell ref="I2:J2"/>
    <mergeCell ref="N2:O2"/>
    <mergeCell ref="A32:A33"/>
    <mergeCell ref="T32:U32"/>
    <mergeCell ref="V32:W32"/>
    <mergeCell ref="X32:Z32"/>
    <mergeCell ref="A30:A31"/>
    <mergeCell ref="T30:U30"/>
    <mergeCell ref="V30:W30"/>
    <mergeCell ref="X30:Z30"/>
    <mergeCell ref="T31:U31"/>
    <mergeCell ref="Z2:AA4"/>
    <mergeCell ref="A5:A6"/>
    <mergeCell ref="Z5:AA6"/>
    <mergeCell ref="A13:A14"/>
    <mergeCell ref="Z13:AA14"/>
    <mergeCell ref="A7:A8"/>
    <mergeCell ref="Z7:AA8"/>
    <mergeCell ref="A9:A10"/>
    <mergeCell ref="G28:J28"/>
    <mergeCell ref="L28:N29"/>
    <mergeCell ref="P28:R29"/>
    <mergeCell ref="A34:A35"/>
    <mergeCell ref="T34:U34"/>
    <mergeCell ref="V34:W34"/>
    <mergeCell ref="AC32:AD33"/>
    <mergeCell ref="AE32:AF33"/>
    <mergeCell ref="AE34:AF35"/>
    <mergeCell ref="AC34:AD35"/>
    <mergeCell ref="AJ27:AO29"/>
    <mergeCell ref="B28:E28"/>
    <mergeCell ref="AP28:AX28"/>
    <mergeCell ref="AG30:AI31"/>
    <mergeCell ref="A15:A16"/>
    <mergeCell ref="AG27:AI29"/>
    <mergeCell ref="Z15:AA16"/>
    <mergeCell ref="A17:A18"/>
    <mergeCell ref="Z17:AA18"/>
    <mergeCell ref="AK32:AN33"/>
    <mergeCell ref="AC30:AD31"/>
    <mergeCell ref="AE30:AF31"/>
    <mergeCell ref="A23:A24"/>
    <mergeCell ref="Z23:AA24"/>
    <mergeCell ref="AC97:AD98"/>
    <mergeCell ref="AE97:AF98"/>
    <mergeCell ref="AG97:AI98"/>
    <mergeCell ref="AK97:AN98"/>
    <mergeCell ref="T98:U98"/>
    <mergeCell ref="V98:W98"/>
    <mergeCell ref="X98:Z98"/>
    <mergeCell ref="AK30:AN31"/>
    <mergeCell ref="AG34:AI35"/>
    <mergeCell ref="AG42:AI43"/>
    <mergeCell ref="AK42:AN43"/>
    <mergeCell ref="AG83:AI84"/>
    <mergeCell ref="AE81:AF82"/>
    <mergeCell ref="AC81:AD82"/>
    <mergeCell ref="AE83:AF84"/>
    <mergeCell ref="AC83:AD84"/>
    <mergeCell ref="AK83:AN84"/>
    <mergeCell ref="V90:W90"/>
    <mergeCell ref="X90:Z90"/>
    <mergeCell ref="T48:U48"/>
    <mergeCell ref="V48:W48"/>
    <mergeCell ref="X48:Z48"/>
    <mergeCell ref="T49:U49"/>
    <mergeCell ref="V49:W49"/>
    <mergeCell ref="A100:A101"/>
    <mergeCell ref="D100:E100"/>
    <mergeCell ref="I100:J100"/>
    <mergeCell ref="N100:O100"/>
    <mergeCell ref="Z100:AA102"/>
    <mergeCell ref="Z103:AA104"/>
    <mergeCell ref="Z105:AA106"/>
    <mergeCell ref="A97:A98"/>
    <mergeCell ref="T97:U97"/>
    <mergeCell ref="V97:W97"/>
    <mergeCell ref="X97:Z97"/>
    <mergeCell ref="Z119:AA120"/>
    <mergeCell ref="A121:A122"/>
    <mergeCell ref="Z121:AA122"/>
    <mergeCell ref="A125:A127"/>
    <mergeCell ref="B125:J125"/>
    <mergeCell ref="L125:R125"/>
    <mergeCell ref="X125:Z127"/>
    <mergeCell ref="Z107:AA108"/>
    <mergeCell ref="Z109:AA110"/>
    <mergeCell ref="Z111:AA112"/>
    <mergeCell ref="A113:A114"/>
    <mergeCell ref="Z113:AA114"/>
    <mergeCell ref="A115:A116"/>
    <mergeCell ref="Z115:AA116"/>
    <mergeCell ref="B126:E126"/>
    <mergeCell ref="G126:J126"/>
    <mergeCell ref="L126:N127"/>
    <mergeCell ref="P126:R127"/>
    <mergeCell ref="T126:U127"/>
    <mergeCell ref="V126:W127"/>
    <mergeCell ref="A117:A118"/>
    <mergeCell ref="Z117:AA118"/>
    <mergeCell ref="A119:A120"/>
    <mergeCell ref="AP126:AX126"/>
    <mergeCell ref="AC128:AD129"/>
    <mergeCell ref="AE128:AF129"/>
    <mergeCell ref="AG128:AI129"/>
    <mergeCell ref="AK128:AN129"/>
    <mergeCell ref="AC125:AD127"/>
    <mergeCell ref="AE125:AF127"/>
    <mergeCell ref="AG125:AI127"/>
    <mergeCell ref="AJ125:AO127"/>
    <mergeCell ref="AC132:AD133"/>
    <mergeCell ref="AE132:AF133"/>
    <mergeCell ref="AG132:AI133"/>
    <mergeCell ref="AK132:AN133"/>
    <mergeCell ref="AP132:AX133"/>
    <mergeCell ref="AC130:AD131"/>
    <mergeCell ref="AE130:AF131"/>
    <mergeCell ref="AG130:AI131"/>
    <mergeCell ref="AK130:AN131"/>
    <mergeCell ref="AC136:AD137"/>
    <mergeCell ref="AE136:AF137"/>
    <mergeCell ref="AG136:AI137"/>
    <mergeCell ref="AK136:AN137"/>
    <mergeCell ref="AP136:AX137"/>
    <mergeCell ref="AC134:AD135"/>
    <mergeCell ref="AE134:AF135"/>
    <mergeCell ref="AG134:AI135"/>
    <mergeCell ref="AK134:AN135"/>
    <mergeCell ref="AC140:AD141"/>
    <mergeCell ref="AE140:AF141"/>
    <mergeCell ref="AG140:AI141"/>
    <mergeCell ref="AK140:AN141"/>
    <mergeCell ref="AP140:AX141"/>
    <mergeCell ref="T141:U141"/>
    <mergeCell ref="V141:W141"/>
    <mergeCell ref="X141:Z141"/>
    <mergeCell ref="A138:A139"/>
    <mergeCell ref="T138:U138"/>
    <mergeCell ref="V138:W138"/>
    <mergeCell ref="X138:Z138"/>
    <mergeCell ref="AC138:AD139"/>
    <mergeCell ref="AE138:AF139"/>
    <mergeCell ref="AG138:AI139"/>
    <mergeCell ref="AK138:AN139"/>
    <mergeCell ref="AP138:AX139"/>
    <mergeCell ref="T139:U139"/>
    <mergeCell ref="V139:W139"/>
    <mergeCell ref="X139:Z139"/>
    <mergeCell ref="A140:A141"/>
    <mergeCell ref="T140:U140"/>
    <mergeCell ref="V140:W140"/>
    <mergeCell ref="X140:Z140"/>
    <mergeCell ref="AP144:AX145"/>
    <mergeCell ref="T145:U145"/>
    <mergeCell ref="V145:W145"/>
    <mergeCell ref="X145:Z145"/>
    <mergeCell ref="A142:A143"/>
    <mergeCell ref="T142:U142"/>
    <mergeCell ref="V142:W142"/>
    <mergeCell ref="X142:Z142"/>
    <mergeCell ref="AC142:AD143"/>
    <mergeCell ref="AE142:AF143"/>
    <mergeCell ref="AG142:AI143"/>
    <mergeCell ref="AK142:AN143"/>
    <mergeCell ref="T143:U143"/>
    <mergeCell ref="V143:W143"/>
    <mergeCell ref="X143:Z143"/>
    <mergeCell ref="AC146:AD147"/>
    <mergeCell ref="AE146:AF147"/>
    <mergeCell ref="AG146:AI147"/>
    <mergeCell ref="AK146:AN147"/>
    <mergeCell ref="T147:U147"/>
    <mergeCell ref="V147:W147"/>
    <mergeCell ref="X147:Z147"/>
    <mergeCell ref="A144:A145"/>
    <mergeCell ref="T144:U144"/>
    <mergeCell ref="V144:W144"/>
    <mergeCell ref="X144:Z144"/>
    <mergeCell ref="AC144:AD145"/>
    <mergeCell ref="AE144:AF145"/>
    <mergeCell ref="AG144:AI145"/>
    <mergeCell ref="AK144:AN145"/>
    <mergeCell ref="A146:A147"/>
    <mergeCell ref="T146:U146"/>
    <mergeCell ref="V146:W146"/>
    <mergeCell ref="X146:Z146"/>
  </mergeCells>
  <pageMargins left="0.2" right="0.2" top="0" bottom="0" header="0" footer="0"/>
  <pageSetup paperSize="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AD01-8897-45D6-AF60-92DDAC746A9B}">
  <dimension ref="A1:I29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3" customWidth="1"/>
    <col min="2" max="2" width="10.42578125" customWidth="1"/>
    <col min="3" max="3" width="11.5703125" customWidth="1"/>
    <col min="4" max="4" width="10.7109375" customWidth="1"/>
  </cols>
  <sheetData>
    <row r="1" spans="1:9" s="77" customFormat="1" x14ac:dyDescent="0.25">
      <c r="A1" s="76" t="s">
        <v>568</v>
      </c>
      <c r="B1" s="76" t="s">
        <v>569</v>
      </c>
      <c r="C1" s="76" t="s">
        <v>570</v>
      </c>
      <c r="D1" s="76" t="s">
        <v>571</v>
      </c>
      <c r="E1" s="76"/>
      <c r="F1" s="76"/>
      <c r="G1" s="76"/>
      <c r="H1" s="76"/>
      <c r="I1" s="76"/>
    </row>
    <row r="2" spans="1:9" x14ac:dyDescent="0.25">
      <c r="A2" t="s">
        <v>630</v>
      </c>
      <c r="C2" t="s">
        <v>631</v>
      </c>
      <c r="D2" t="s">
        <v>632</v>
      </c>
    </row>
    <row r="3" spans="1:9" x14ac:dyDescent="0.25">
      <c r="A3" t="s">
        <v>602</v>
      </c>
      <c r="C3" t="s">
        <v>603</v>
      </c>
      <c r="D3" t="s">
        <v>575</v>
      </c>
      <c r="E3" t="s">
        <v>604</v>
      </c>
      <c r="F3" t="s">
        <v>605</v>
      </c>
    </row>
    <row r="4" spans="1:9" x14ac:dyDescent="0.25">
      <c r="A4" t="s">
        <v>596</v>
      </c>
      <c r="C4" t="s">
        <v>593</v>
      </c>
      <c r="D4" t="s">
        <v>594</v>
      </c>
    </row>
    <row r="5" spans="1:9" x14ac:dyDescent="0.25">
      <c r="A5" t="s">
        <v>598</v>
      </c>
      <c r="C5" t="s">
        <v>593</v>
      </c>
      <c r="D5" t="s">
        <v>591</v>
      </c>
    </row>
    <row r="6" spans="1:9" x14ac:dyDescent="0.25">
      <c r="A6" t="s">
        <v>599</v>
      </c>
      <c r="C6" t="s">
        <v>593</v>
      </c>
      <c r="D6" t="s">
        <v>591</v>
      </c>
    </row>
    <row r="7" spans="1:9" x14ac:dyDescent="0.25">
      <c r="A7" t="s">
        <v>309</v>
      </c>
      <c r="C7" t="s">
        <v>593</v>
      </c>
      <c r="D7" t="s">
        <v>594</v>
      </c>
    </row>
    <row r="8" spans="1:9" x14ac:dyDescent="0.25">
      <c r="A8" t="s">
        <v>573</v>
      </c>
      <c r="B8" t="s">
        <v>23</v>
      </c>
      <c r="C8" t="s">
        <v>574</v>
      </c>
      <c r="D8" t="s">
        <v>575</v>
      </c>
    </row>
    <row r="9" spans="1:9" x14ac:dyDescent="0.25">
      <c r="A9" t="s">
        <v>26</v>
      </c>
      <c r="B9" t="s">
        <v>588</v>
      </c>
      <c r="C9" t="s">
        <v>574</v>
      </c>
      <c r="D9" t="s">
        <v>575</v>
      </c>
    </row>
    <row r="10" spans="1:9" x14ac:dyDescent="0.25">
      <c r="A10" t="s">
        <v>295</v>
      </c>
      <c r="C10" t="s">
        <v>586</v>
      </c>
      <c r="D10" t="s">
        <v>587</v>
      </c>
    </row>
    <row r="11" spans="1:9" x14ac:dyDescent="0.25">
      <c r="A11" t="s">
        <v>636</v>
      </c>
      <c r="C11" t="s">
        <v>635</v>
      </c>
      <c r="E11" t="s">
        <v>637</v>
      </c>
    </row>
    <row r="12" spans="1:9" x14ac:dyDescent="0.25">
      <c r="A12" t="s">
        <v>633</v>
      </c>
      <c r="C12" t="s">
        <v>635</v>
      </c>
      <c r="D12" t="s">
        <v>587</v>
      </c>
    </row>
    <row r="13" spans="1:9" x14ac:dyDescent="0.25">
      <c r="A13" t="s">
        <v>634</v>
      </c>
      <c r="C13" t="s">
        <v>635</v>
      </c>
      <c r="D13" t="s">
        <v>638</v>
      </c>
    </row>
    <row r="14" spans="1:9" x14ac:dyDescent="0.25">
      <c r="A14" t="s">
        <v>608</v>
      </c>
      <c r="C14" t="s">
        <v>609</v>
      </c>
      <c r="D14" t="s">
        <v>610</v>
      </c>
    </row>
    <row r="15" spans="1:9" x14ac:dyDescent="0.25">
      <c r="A15" t="s">
        <v>308</v>
      </c>
      <c r="C15" t="s">
        <v>576</v>
      </c>
      <c r="D15" t="s">
        <v>585</v>
      </c>
    </row>
    <row r="16" spans="1:9" x14ac:dyDescent="0.25">
      <c r="A16" t="s">
        <v>309</v>
      </c>
      <c r="C16" t="s">
        <v>576</v>
      </c>
      <c r="D16" t="s">
        <v>577</v>
      </c>
    </row>
    <row r="17" spans="1:5" x14ac:dyDescent="0.25">
      <c r="A17" t="s">
        <v>581</v>
      </c>
      <c r="B17" t="s">
        <v>582</v>
      </c>
      <c r="C17" t="s">
        <v>579</v>
      </c>
      <c r="D17" t="s">
        <v>583</v>
      </c>
    </row>
    <row r="18" spans="1:5" x14ac:dyDescent="0.25">
      <c r="A18" t="s">
        <v>578</v>
      </c>
      <c r="B18" t="s">
        <v>294</v>
      </c>
      <c r="C18" t="s">
        <v>579</v>
      </c>
      <c r="D18" t="s">
        <v>580</v>
      </c>
    </row>
    <row r="19" spans="1:5" x14ac:dyDescent="0.25">
      <c r="A19" t="s">
        <v>611</v>
      </c>
      <c r="C19" t="s">
        <v>612</v>
      </c>
      <c r="D19" t="s">
        <v>575</v>
      </c>
    </row>
    <row r="20" spans="1:5" x14ac:dyDescent="0.25">
      <c r="A20" t="s">
        <v>311</v>
      </c>
      <c r="C20" t="s">
        <v>584</v>
      </c>
      <c r="D20" t="s">
        <v>585</v>
      </c>
    </row>
    <row r="21" spans="1:5" x14ac:dyDescent="0.25">
      <c r="A21" t="s">
        <v>312</v>
      </c>
      <c r="C21" t="s">
        <v>584</v>
      </c>
      <c r="D21" t="s">
        <v>585</v>
      </c>
      <c r="E21" t="s">
        <v>591</v>
      </c>
    </row>
    <row r="22" spans="1:5" x14ac:dyDescent="0.25">
      <c r="A22" t="s">
        <v>606</v>
      </c>
      <c r="C22" t="s">
        <v>607</v>
      </c>
      <c r="D22" t="s">
        <v>587</v>
      </c>
    </row>
    <row r="23" spans="1:5" x14ac:dyDescent="0.25">
      <c r="A23" t="s">
        <v>565</v>
      </c>
      <c r="C23" t="s">
        <v>592</v>
      </c>
      <c r="D23" t="s">
        <v>591</v>
      </c>
    </row>
    <row r="24" spans="1:5" x14ac:dyDescent="0.25">
      <c r="A24" t="s">
        <v>567</v>
      </c>
      <c r="B24" t="s">
        <v>296</v>
      </c>
      <c r="C24" t="s">
        <v>566</v>
      </c>
      <c r="D24" t="s">
        <v>572</v>
      </c>
    </row>
    <row r="28" spans="1:5" x14ac:dyDescent="0.25">
      <c r="A28" t="s">
        <v>24</v>
      </c>
      <c r="C28" t="s">
        <v>589</v>
      </c>
    </row>
    <row r="29" spans="1:5" x14ac:dyDescent="0.25">
      <c r="A29" t="s">
        <v>310</v>
      </c>
      <c r="C29" t="s">
        <v>590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707B-3C06-4492-8007-AEBD8F17D761}">
  <dimension ref="A1:A33"/>
  <sheetViews>
    <sheetView workbookViewId="0">
      <selection activeCell="A32" sqref="A32"/>
    </sheetView>
  </sheetViews>
  <sheetFormatPr defaultRowHeight="15" x14ac:dyDescent="0.25"/>
  <cols>
    <col min="1" max="1" width="65.5703125" bestFit="1" customWidth="1"/>
  </cols>
  <sheetData>
    <row r="1" spans="1:1" x14ac:dyDescent="0.25">
      <c r="A1" t="s">
        <v>639</v>
      </c>
    </row>
    <row r="2" spans="1:1" x14ac:dyDescent="0.25">
      <c r="A2" t="s">
        <v>640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67</v>
      </c>
    </row>
    <row r="6" spans="1:1" x14ac:dyDescent="0.25">
      <c r="A6" t="s">
        <v>69</v>
      </c>
    </row>
    <row r="7" spans="1:1" x14ac:dyDescent="0.25">
      <c r="A7" t="s">
        <v>71</v>
      </c>
    </row>
    <row r="8" spans="1:1" x14ac:dyDescent="0.25">
      <c r="A8" t="s">
        <v>70</v>
      </c>
    </row>
    <row r="9" spans="1:1" x14ac:dyDescent="0.25">
      <c r="A9" t="s">
        <v>74</v>
      </c>
    </row>
    <row r="10" spans="1:1" x14ac:dyDescent="0.25">
      <c r="A10" t="s">
        <v>75</v>
      </c>
    </row>
    <row r="11" spans="1:1" x14ac:dyDescent="0.25">
      <c r="A11" t="s">
        <v>77</v>
      </c>
    </row>
    <row r="12" spans="1:1" x14ac:dyDescent="0.25">
      <c r="A12" t="s">
        <v>78</v>
      </c>
    </row>
    <row r="13" spans="1:1" x14ac:dyDescent="0.25">
      <c r="A13" t="s">
        <v>80</v>
      </c>
    </row>
    <row r="14" spans="1:1" x14ac:dyDescent="0.25">
      <c r="A14" t="s">
        <v>68</v>
      </c>
    </row>
    <row r="15" spans="1:1" x14ac:dyDescent="0.25">
      <c r="A15" t="s">
        <v>66</v>
      </c>
    </row>
    <row r="16" spans="1:1" x14ac:dyDescent="0.25">
      <c r="A16" t="s">
        <v>83</v>
      </c>
    </row>
    <row r="17" spans="1:1" x14ac:dyDescent="0.25">
      <c r="A17" t="s">
        <v>61</v>
      </c>
    </row>
    <row r="18" spans="1:1" x14ac:dyDescent="0.25">
      <c r="A18" t="s">
        <v>84</v>
      </c>
    </row>
    <row r="19" spans="1:1" x14ac:dyDescent="0.25">
      <c r="A19" t="s">
        <v>79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63</v>
      </c>
    </row>
    <row r="23" spans="1:1" x14ac:dyDescent="0.25">
      <c r="A23" t="s">
        <v>76</v>
      </c>
    </row>
    <row r="24" spans="1:1" x14ac:dyDescent="0.25">
      <c r="A24" t="s">
        <v>87</v>
      </c>
    </row>
    <row r="25" spans="1:1" x14ac:dyDescent="0.25">
      <c r="A25" t="s">
        <v>82</v>
      </c>
    </row>
    <row r="26" spans="1:1" x14ac:dyDescent="0.25">
      <c r="A26" t="s">
        <v>88</v>
      </c>
    </row>
    <row r="27" spans="1:1" x14ac:dyDescent="0.25">
      <c r="A27" t="s">
        <v>89</v>
      </c>
    </row>
    <row r="28" spans="1:1" x14ac:dyDescent="0.25">
      <c r="A28" t="s">
        <v>73</v>
      </c>
    </row>
    <row r="29" spans="1:1" x14ac:dyDescent="0.25">
      <c r="A29" t="s">
        <v>90</v>
      </c>
    </row>
    <row r="30" spans="1:1" x14ac:dyDescent="0.25">
      <c r="A30" t="s">
        <v>81</v>
      </c>
    </row>
    <row r="31" spans="1:1" x14ac:dyDescent="0.25">
      <c r="A31" t="s">
        <v>91</v>
      </c>
    </row>
    <row r="32" spans="1:1" x14ac:dyDescent="0.25">
      <c r="A32" t="s">
        <v>72</v>
      </c>
    </row>
    <row r="33" spans="1:1" x14ac:dyDescent="0.25">
      <c r="A33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E5B4-2B3A-4E0A-B8E1-3CB324AA7524}">
  <dimension ref="A1:AO69"/>
  <sheetViews>
    <sheetView topLeftCell="A31" workbookViewId="0">
      <selection activeCell="A10" sqref="A10:A11"/>
    </sheetView>
  </sheetViews>
  <sheetFormatPr defaultColWidth="5.85546875" defaultRowHeight="18.75" x14ac:dyDescent="0.3"/>
  <cols>
    <col min="1" max="1" width="12.140625" style="89" customWidth="1"/>
    <col min="2" max="25" width="4.7109375" style="116" customWidth="1"/>
    <col min="26" max="27" width="4.5703125" style="89" customWidth="1"/>
    <col min="28" max="16384" width="5.85546875" style="89"/>
  </cols>
  <sheetData>
    <row r="1" spans="1:27" ht="15" customHeight="1" thickTop="1" x14ac:dyDescent="0.3">
      <c r="A1" s="304" t="s">
        <v>13</v>
      </c>
      <c r="B1" s="117"/>
      <c r="C1" s="117"/>
      <c r="D1" s="306" t="s">
        <v>136</v>
      </c>
      <c r="E1" s="306"/>
      <c r="F1" s="119"/>
      <c r="G1" s="120"/>
      <c r="H1" s="118"/>
      <c r="I1" s="306" t="s">
        <v>0</v>
      </c>
      <c r="J1" s="306"/>
      <c r="K1" s="120"/>
      <c r="L1" s="121"/>
      <c r="M1" s="118"/>
      <c r="N1" s="306" t="s">
        <v>1</v>
      </c>
      <c r="O1" s="306"/>
      <c r="P1" s="119"/>
      <c r="Q1" s="122"/>
      <c r="R1" s="118"/>
      <c r="S1" s="118"/>
      <c r="T1" s="119" t="s">
        <v>2</v>
      </c>
      <c r="U1" s="121"/>
      <c r="V1" s="123"/>
      <c r="W1" s="119"/>
      <c r="X1" s="119" t="s">
        <v>562</v>
      </c>
      <c r="Y1" s="119"/>
      <c r="Z1" s="307" t="s">
        <v>32</v>
      </c>
      <c r="AA1" s="308"/>
    </row>
    <row r="2" spans="1:27" x14ac:dyDescent="0.3">
      <c r="A2" s="305"/>
      <c r="B2" s="124">
        <v>4</v>
      </c>
      <c r="C2" s="125">
        <v>5</v>
      </c>
      <c r="D2" s="125">
        <v>8</v>
      </c>
      <c r="E2" s="125">
        <v>14</v>
      </c>
      <c r="F2" s="125">
        <v>22</v>
      </c>
      <c r="G2" s="126">
        <v>29</v>
      </c>
      <c r="H2" s="124">
        <v>5</v>
      </c>
      <c r="I2" s="127">
        <v>12</v>
      </c>
      <c r="J2" s="125">
        <v>20</v>
      </c>
      <c r="K2" s="126">
        <v>26</v>
      </c>
      <c r="L2" s="127">
        <v>2</v>
      </c>
      <c r="M2" s="125">
        <v>9</v>
      </c>
      <c r="N2" s="125">
        <v>13</v>
      </c>
      <c r="O2" s="125">
        <v>23</v>
      </c>
      <c r="P2" s="125">
        <v>27</v>
      </c>
      <c r="Q2" s="128">
        <v>27</v>
      </c>
      <c r="R2" s="127">
        <v>7</v>
      </c>
      <c r="S2" s="129">
        <v>11</v>
      </c>
      <c r="T2" s="129">
        <v>18</v>
      </c>
      <c r="U2" s="129">
        <v>21</v>
      </c>
      <c r="V2" s="130">
        <v>25</v>
      </c>
      <c r="W2" s="127" t="s">
        <v>561</v>
      </c>
      <c r="X2" s="125" t="s">
        <v>561</v>
      </c>
      <c r="Y2" s="129" t="s">
        <v>561</v>
      </c>
      <c r="Z2" s="309"/>
      <c r="AA2" s="310"/>
    </row>
    <row r="3" spans="1:27" ht="19.5" thickBot="1" x14ac:dyDescent="0.35">
      <c r="A3" s="90" t="s">
        <v>14</v>
      </c>
      <c r="B3" s="131">
        <v>1</v>
      </c>
      <c r="C3" s="132">
        <v>2</v>
      </c>
      <c r="D3" s="132">
        <v>3</v>
      </c>
      <c r="E3" s="132">
        <v>4</v>
      </c>
      <c r="F3" s="132">
        <v>5</v>
      </c>
      <c r="G3" s="133">
        <v>6</v>
      </c>
      <c r="H3" s="134">
        <v>7</v>
      </c>
      <c r="I3" s="134">
        <v>8</v>
      </c>
      <c r="J3" s="132">
        <v>9</v>
      </c>
      <c r="K3" s="133">
        <v>10</v>
      </c>
      <c r="L3" s="134">
        <v>11</v>
      </c>
      <c r="M3" s="132">
        <v>12</v>
      </c>
      <c r="N3" s="132">
        <v>13</v>
      </c>
      <c r="O3" s="132">
        <v>14</v>
      </c>
      <c r="P3" s="132">
        <v>15</v>
      </c>
      <c r="Q3" s="133">
        <v>16</v>
      </c>
      <c r="R3" s="134">
        <v>17</v>
      </c>
      <c r="S3" s="132">
        <v>18</v>
      </c>
      <c r="T3" s="132">
        <v>19</v>
      </c>
      <c r="U3" s="134">
        <v>20</v>
      </c>
      <c r="V3" s="133">
        <v>21</v>
      </c>
      <c r="W3" s="134">
        <v>22</v>
      </c>
      <c r="X3" s="132">
        <v>23</v>
      </c>
      <c r="Y3" s="132">
        <v>24</v>
      </c>
      <c r="Z3" s="311"/>
      <c r="AA3" s="312"/>
    </row>
    <row r="4" spans="1:27" ht="15.75" customHeight="1" x14ac:dyDescent="0.3">
      <c r="A4" s="298" t="s">
        <v>24</v>
      </c>
      <c r="B4" s="135" t="s">
        <v>39</v>
      </c>
      <c r="C4" s="136" t="s">
        <v>10</v>
      </c>
      <c r="D4" s="136" t="s">
        <v>44</v>
      </c>
      <c r="E4" s="136" t="s">
        <v>15</v>
      </c>
      <c r="F4" s="136" t="s">
        <v>41</v>
      </c>
      <c r="G4" s="136" t="s">
        <v>57</v>
      </c>
      <c r="H4" s="136" t="s">
        <v>56</v>
      </c>
      <c r="I4" s="136" t="s">
        <v>54</v>
      </c>
      <c r="J4" s="136" t="s">
        <v>55</v>
      </c>
      <c r="K4" s="136" t="s">
        <v>11</v>
      </c>
      <c r="L4" s="136" t="s">
        <v>17</v>
      </c>
      <c r="M4" s="136" t="s">
        <v>27</v>
      </c>
      <c r="N4" s="136" t="s">
        <v>21</v>
      </c>
      <c r="O4" s="136" t="s">
        <v>51</v>
      </c>
      <c r="P4" s="136" t="s">
        <v>38</v>
      </c>
      <c r="Q4" s="136" t="s">
        <v>10</v>
      </c>
      <c r="R4" s="136" t="s">
        <v>54</v>
      </c>
      <c r="S4" s="136" t="s">
        <v>11</v>
      </c>
      <c r="T4" s="137" t="s">
        <v>15</v>
      </c>
      <c r="U4" s="136" t="s">
        <v>11</v>
      </c>
      <c r="V4" s="136" t="s">
        <v>49</v>
      </c>
      <c r="W4" s="136" t="s">
        <v>57</v>
      </c>
      <c r="X4" s="136" t="s">
        <v>51</v>
      </c>
      <c r="Y4" s="136" t="s">
        <v>42</v>
      </c>
      <c r="Z4" s="300">
        <f>SUM(B5:Y5)</f>
        <v>2</v>
      </c>
      <c r="AA4" s="301"/>
    </row>
    <row r="5" spans="1:27" ht="15.75" customHeight="1" thickBot="1" x14ac:dyDescent="0.35">
      <c r="A5" s="299"/>
      <c r="B5" s="138">
        <v>1</v>
      </c>
      <c r="C5" s="139">
        <v>0</v>
      </c>
      <c r="D5" s="139">
        <v>1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302"/>
      <c r="AA5" s="303"/>
    </row>
    <row r="6" spans="1:27" ht="15.75" customHeight="1" x14ac:dyDescent="0.3">
      <c r="A6" s="313" t="s">
        <v>294</v>
      </c>
      <c r="B6" s="135" t="s">
        <v>39</v>
      </c>
      <c r="C6" s="136" t="s">
        <v>12</v>
      </c>
      <c r="D6" s="136" t="s">
        <v>53</v>
      </c>
      <c r="E6" s="136" t="s">
        <v>15</v>
      </c>
      <c r="F6" s="136" t="s">
        <v>41</v>
      </c>
      <c r="G6" s="136" t="s">
        <v>57</v>
      </c>
      <c r="H6" s="136" t="s">
        <v>56</v>
      </c>
      <c r="I6" s="136" t="s">
        <v>54</v>
      </c>
      <c r="J6" s="136" t="s">
        <v>55</v>
      </c>
      <c r="K6" s="136" t="s">
        <v>11</v>
      </c>
      <c r="L6" s="136" t="s">
        <v>17</v>
      </c>
      <c r="M6" s="136" t="s">
        <v>27</v>
      </c>
      <c r="N6" s="136" t="s">
        <v>19</v>
      </c>
      <c r="O6" s="136" t="s">
        <v>48</v>
      </c>
      <c r="P6" s="136" t="s">
        <v>38</v>
      </c>
      <c r="Q6" s="136" t="s">
        <v>10</v>
      </c>
      <c r="R6" s="136" t="s">
        <v>41</v>
      </c>
      <c r="S6" s="136" t="s">
        <v>11</v>
      </c>
      <c r="T6" s="137" t="s">
        <v>15</v>
      </c>
      <c r="U6" s="136" t="s">
        <v>11</v>
      </c>
      <c r="V6" s="136" t="s">
        <v>43</v>
      </c>
      <c r="W6" s="136" t="s">
        <v>57</v>
      </c>
      <c r="X6" s="136" t="s">
        <v>46</v>
      </c>
      <c r="Y6" s="136" t="s">
        <v>18</v>
      </c>
      <c r="Z6" s="300">
        <f>SUM(B7:Y7)</f>
        <v>2</v>
      </c>
      <c r="AA6" s="301"/>
    </row>
    <row r="7" spans="1:27" ht="15.75" customHeight="1" thickBot="1" x14ac:dyDescent="0.35">
      <c r="A7" s="299"/>
      <c r="B7" s="138">
        <v>1</v>
      </c>
      <c r="C7" s="139">
        <v>1</v>
      </c>
      <c r="D7" s="139">
        <v>0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40"/>
      <c r="Z7" s="302"/>
      <c r="AA7" s="303"/>
    </row>
    <row r="8" spans="1:27" ht="15.75" customHeight="1" x14ac:dyDescent="0.3">
      <c r="A8" s="314" t="s">
        <v>563</v>
      </c>
      <c r="B8" s="141" t="s">
        <v>39</v>
      </c>
      <c r="C8" s="136" t="s">
        <v>12</v>
      </c>
      <c r="D8" s="136" t="s">
        <v>53</v>
      </c>
      <c r="E8" s="136" t="s">
        <v>46</v>
      </c>
      <c r="F8" s="136" t="s">
        <v>41</v>
      </c>
      <c r="G8" s="136" t="s">
        <v>57</v>
      </c>
      <c r="H8" s="136" t="s">
        <v>56</v>
      </c>
      <c r="I8" s="136" t="s">
        <v>54</v>
      </c>
      <c r="J8" s="136" t="s">
        <v>55</v>
      </c>
      <c r="K8" s="136" t="s">
        <v>11</v>
      </c>
      <c r="L8" s="136" t="s">
        <v>17</v>
      </c>
      <c r="M8" s="136" t="s">
        <v>27</v>
      </c>
      <c r="N8" s="136" t="s">
        <v>19</v>
      </c>
      <c r="O8" s="136" t="s">
        <v>48</v>
      </c>
      <c r="P8" s="136" t="s">
        <v>9</v>
      </c>
      <c r="Q8" s="136" t="s">
        <v>10</v>
      </c>
      <c r="R8" s="136" t="s">
        <v>41</v>
      </c>
      <c r="S8" s="136" t="s">
        <v>11</v>
      </c>
      <c r="T8" s="137" t="s">
        <v>15</v>
      </c>
      <c r="U8" s="136" t="s">
        <v>11</v>
      </c>
      <c r="V8" s="136" t="s">
        <v>49</v>
      </c>
      <c r="W8" s="136" t="s">
        <v>57</v>
      </c>
      <c r="X8" s="136" t="s">
        <v>46</v>
      </c>
      <c r="Y8" s="136" t="s">
        <v>18</v>
      </c>
      <c r="Z8" s="300">
        <f>SUM(B9:Y9)</f>
        <v>2</v>
      </c>
      <c r="AA8" s="301"/>
    </row>
    <row r="9" spans="1:27" ht="15.75" customHeight="1" thickBot="1" x14ac:dyDescent="0.35">
      <c r="A9" s="315"/>
      <c r="B9" s="138">
        <v>1</v>
      </c>
      <c r="C9" s="139">
        <v>1</v>
      </c>
      <c r="D9" s="139">
        <v>0</v>
      </c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40"/>
      <c r="Z9" s="302"/>
      <c r="AA9" s="303"/>
    </row>
    <row r="10" spans="1:27" ht="15.75" customHeight="1" x14ac:dyDescent="0.3">
      <c r="A10" s="313" t="s">
        <v>310</v>
      </c>
      <c r="B10" s="135" t="s">
        <v>39</v>
      </c>
      <c r="C10" s="136" t="s">
        <v>12</v>
      </c>
      <c r="D10" s="136" t="s">
        <v>44</v>
      </c>
      <c r="E10" s="136" t="s">
        <v>15</v>
      </c>
      <c r="F10" s="136" t="s">
        <v>41</v>
      </c>
      <c r="G10" s="136" t="s">
        <v>57</v>
      </c>
      <c r="H10" s="136" t="s">
        <v>16</v>
      </c>
      <c r="I10" s="136" t="s">
        <v>54</v>
      </c>
      <c r="J10" s="136" t="s">
        <v>55</v>
      </c>
      <c r="K10" s="136" t="s">
        <v>11</v>
      </c>
      <c r="L10" s="136" t="s">
        <v>18</v>
      </c>
      <c r="M10" s="136" t="s">
        <v>27</v>
      </c>
      <c r="N10" s="136" t="s">
        <v>19</v>
      </c>
      <c r="O10" s="136" t="s">
        <v>48</v>
      </c>
      <c r="P10" s="136" t="s">
        <v>38</v>
      </c>
      <c r="Q10" s="136" t="s">
        <v>10</v>
      </c>
      <c r="R10" s="136" t="s">
        <v>41</v>
      </c>
      <c r="S10" s="136" t="s">
        <v>11</v>
      </c>
      <c r="T10" s="137" t="s">
        <v>15</v>
      </c>
      <c r="U10" s="136" t="s">
        <v>11</v>
      </c>
      <c r="V10" s="136" t="s">
        <v>43</v>
      </c>
      <c r="W10" s="136" t="s">
        <v>57</v>
      </c>
      <c r="X10" s="136" t="s">
        <v>51</v>
      </c>
      <c r="Y10" s="136" t="s">
        <v>18</v>
      </c>
      <c r="Z10" s="300">
        <f>SUM(B11:Y11)</f>
        <v>3</v>
      </c>
      <c r="AA10" s="301"/>
    </row>
    <row r="11" spans="1:27" ht="15.75" customHeight="1" thickBot="1" x14ac:dyDescent="0.35">
      <c r="A11" s="299"/>
      <c r="B11" s="138">
        <v>1</v>
      </c>
      <c r="C11" s="139">
        <v>1</v>
      </c>
      <c r="D11" s="139">
        <v>1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40"/>
      <c r="Z11" s="302"/>
      <c r="AA11" s="303"/>
    </row>
    <row r="12" spans="1:27" ht="15.75" customHeight="1" x14ac:dyDescent="0.3">
      <c r="A12" s="313" t="s">
        <v>564</v>
      </c>
      <c r="B12" s="135" t="s">
        <v>39</v>
      </c>
      <c r="C12" s="136" t="s">
        <v>10</v>
      </c>
      <c r="D12" s="136" t="s">
        <v>53</v>
      </c>
      <c r="E12" s="136" t="s">
        <v>15</v>
      </c>
      <c r="F12" s="136" t="s">
        <v>41</v>
      </c>
      <c r="G12" s="136" t="s">
        <v>57</v>
      </c>
      <c r="H12" s="136" t="s">
        <v>16</v>
      </c>
      <c r="I12" s="136" t="s">
        <v>54</v>
      </c>
      <c r="J12" s="136" t="s">
        <v>55</v>
      </c>
      <c r="K12" s="136" t="s">
        <v>11</v>
      </c>
      <c r="L12" s="136" t="s">
        <v>17</v>
      </c>
      <c r="M12" s="136" t="s">
        <v>27</v>
      </c>
      <c r="N12" s="136" t="s">
        <v>19</v>
      </c>
      <c r="O12" s="136" t="s">
        <v>48</v>
      </c>
      <c r="P12" s="136" t="s">
        <v>38</v>
      </c>
      <c r="Q12" s="136" t="s">
        <v>10</v>
      </c>
      <c r="R12" s="136" t="s">
        <v>41</v>
      </c>
      <c r="S12" s="136" t="s">
        <v>11</v>
      </c>
      <c r="T12" s="137" t="s">
        <v>15</v>
      </c>
      <c r="U12" s="136" t="s">
        <v>11</v>
      </c>
      <c r="V12" s="136" t="s">
        <v>43</v>
      </c>
      <c r="W12" s="136" t="s">
        <v>57</v>
      </c>
      <c r="X12" s="136" t="s">
        <v>51</v>
      </c>
      <c r="Y12" s="136" t="s">
        <v>18</v>
      </c>
      <c r="Z12" s="300">
        <f>SUM(B13:Y13)</f>
        <v>1</v>
      </c>
      <c r="AA12" s="301"/>
    </row>
    <row r="13" spans="1:27" ht="15.75" customHeight="1" thickBot="1" x14ac:dyDescent="0.35">
      <c r="A13" s="299"/>
      <c r="B13" s="138">
        <v>1</v>
      </c>
      <c r="C13" s="139">
        <v>0</v>
      </c>
      <c r="D13" s="139">
        <v>0</v>
      </c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40"/>
      <c r="Z13" s="302"/>
      <c r="AA13" s="303"/>
    </row>
    <row r="14" spans="1:27" ht="15.75" customHeight="1" x14ac:dyDescent="0.3">
      <c r="A14" s="313" t="s">
        <v>312</v>
      </c>
      <c r="B14" s="135" t="s">
        <v>39</v>
      </c>
      <c r="C14" s="136" t="s">
        <v>12</v>
      </c>
      <c r="D14" s="136" t="s">
        <v>44</v>
      </c>
      <c r="E14" s="136" t="s">
        <v>15</v>
      </c>
      <c r="F14" s="136" t="s">
        <v>41</v>
      </c>
      <c r="G14" s="136" t="s">
        <v>57</v>
      </c>
      <c r="H14" s="136" t="s">
        <v>56</v>
      </c>
      <c r="I14" s="136" t="s">
        <v>54</v>
      </c>
      <c r="J14" s="136" t="s">
        <v>42</v>
      </c>
      <c r="K14" s="136" t="s">
        <v>20</v>
      </c>
      <c r="L14" s="136" t="s">
        <v>18</v>
      </c>
      <c r="M14" s="136" t="s">
        <v>27</v>
      </c>
      <c r="N14" s="136" t="s">
        <v>19</v>
      </c>
      <c r="O14" s="136" t="s">
        <v>48</v>
      </c>
      <c r="P14" s="136" t="s">
        <v>38</v>
      </c>
      <c r="Q14" s="136" t="s">
        <v>49</v>
      </c>
      <c r="R14" s="136" t="s">
        <v>41</v>
      </c>
      <c r="S14" s="136" t="s">
        <v>11</v>
      </c>
      <c r="T14" s="137" t="s">
        <v>42</v>
      </c>
      <c r="U14" s="136" t="s">
        <v>11</v>
      </c>
      <c r="V14" s="136" t="s">
        <v>49</v>
      </c>
      <c r="W14" s="136" t="s">
        <v>12</v>
      </c>
      <c r="X14" s="136" t="s">
        <v>51</v>
      </c>
      <c r="Y14" s="136" t="s">
        <v>42</v>
      </c>
      <c r="Z14" s="300">
        <f>SUM(B15:Y15)</f>
        <v>3</v>
      </c>
      <c r="AA14" s="301"/>
    </row>
    <row r="15" spans="1:27" ht="15.75" customHeight="1" thickBot="1" x14ac:dyDescent="0.35">
      <c r="A15" s="299"/>
      <c r="B15" s="138">
        <v>1</v>
      </c>
      <c r="C15" s="139">
        <v>1</v>
      </c>
      <c r="D15" s="139">
        <v>1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40"/>
      <c r="Z15" s="302"/>
      <c r="AA15" s="303"/>
    </row>
    <row r="16" spans="1:27" ht="15.75" customHeight="1" x14ac:dyDescent="0.3">
      <c r="A16" s="313" t="s">
        <v>311</v>
      </c>
      <c r="B16" s="135" t="s">
        <v>39</v>
      </c>
      <c r="C16" s="136" t="s">
        <v>10</v>
      </c>
      <c r="D16" s="136" t="s">
        <v>44</v>
      </c>
      <c r="E16" s="136" t="s">
        <v>15</v>
      </c>
      <c r="F16" s="136" t="s">
        <v>38</v>
      </c>
      <c r="G16" s="136" t="s">
        <v>57</v>
      </c>
      <c r="H16" s="136" t="s">
        <v>16</v>
      </c>
      <c r="I16" s="136" t="s">
        <v>54</v>
      </c>
      <c r="J16" s="136" t="s">
        <v>42</v>
      </c>
      <c r="K16" s="136" t="s">
        <v>11</v>
      </c>
      <c r="L16" s="136" t="s">
        <v>17</v>
      </c>
      <c r="M16" s="136" t="s">
        <v>45</v>
      </c>
      <c r="N16" s="136" t="s">
        <v>19</v>
      </c>
      <c r="O16" s="136" t="s">
        <v>48</v>
      </c>
      <c r="P16" s="136" t="s">
        <v>38</v>
      </c>
      <c r="Q16" s="136" t="s">
        <v>10</v>
      </c>
      <c r="R16" s="136" t="s">
        <v>41</v>
      </c>
      <c r="S16" s="136" t="s">
        <v>50</v>
      </c>
      <c r="T16" s="137" t="s">
        <v>15</v>
      </c>
      <c r="U16" s="136" t="s">
        <v>47</v>
      </c>
      <c r="V16" s="136" t="s">
        <v>49</v>
      </c>
      <c r="W16" s="136" t="s">
        <v>57</v>
      </c>
      <c r="X16" s="136" t="s">
        <v>51</v>
      </c>
      <c r="Y16" s="136" t="s">
        <v>18</v>
      </c>
      <c r="Z16" s="300">
        <f>SUM(B17:Y17)</f>
        <v>2</v>
      </c>
      <c r="AA16" s="301"/>
    </row>
    <row r="17" spans="1:27" ht="15.75" customHeight="1" thickBot="1" x14ac:dyDescent="0.35">
      <c r="A17" s="299"/>
      <c r="B17" s="138">
        <v>1</v>
      </c>
      <c r="C17" s="139">
        <v>0</v>
      </c>
      <c r="D17" s="139">
        <v>1</v>
      </c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40"/>
      <c r="Z17" s="302"/>
      <c r="AA17" s="303"/>
    </row>
    <row r="18" spans="1:27" ht="15.75" customHeight="1" x14ac:dyDescent="0.3">
      <c r="A18" s="313" t="s">
        <v>296</v>
      </c>
      <c r="B18" s="135" t="s">
        <v>39</v>
      </c>
      <c r="C18" s="136" t="s">
        <v>10</v>
      </c>
      <c r="D18" s="136" t="s">
        <v>44</v>
      </c>
      <c r="E18" s="136" t="s">
        <v>46</v>
      </c>
      <c r="F18" s="136" t="s">
        <v>41</v>
      </c>
      <c r="G18" s="136" t="s">
        <v>57</v>
      </c>
      <c r="H18" s="136" t="s">
        <v>16</v>
      </c>
      <c r="I18" s="136" t="s">
        <v>54</v>
      </c>
      <c r="J18" s="136" t="s">
        <v>42</v>
      </c>
      <c r="K18" s="136" t="s">
        <v>11</v>
      </c>
      <c r="L18" s="136" t="s">
        <v>17</v>
      </c>
      <c r="M18" s="136" t="s">
        <v>27</v>
      </c>
      <c r="N18" s="136" t="s">
        <v>21</v>
      </c>
      <c r="O18" s="136" t="s">
        <v>51</v>
      </c>
      <c r="P18" s="136" t="s">
        <v>38</v>
      </c>
      <c r="Q18" s="136" t="s">
        <v>10</v>
      </c>
      <c r="R18" s="136" t="s">
        <v>41</v>
      </c>
      <c r="S18" s="136" t="s">
        <v>11</v>
      </c>
      <c r="T18" s="137" t="s">
        <v>15</v>
      </c>
      <c r="U18" s="136" t="s">
        <v>11</v>
      </c>
      <c r="V18" s="136" t="s">
        <v>43</v>
      </c>
      <c r="W18" s="136" t="s">
        <v>12</v>
      </c>
      <c r="X18" s="136" t="s">
        <v>51</v>
      </c>
      <c r="Y18" s="136" t="s">
        <v>42</v>
      </c>
      <c r="Z18" s="300">
        <f>SUM(B19:Y19)</f>
        <v>2</v>
      </c>
      <c r="AA18" s="301"/>
    </row>
    <row r="19" spans="1:27" ht="15.75" customHeight="1" thickBot="1" x14ac:dyDescent="0.35">
      <c r="A19" s="299"/>
      <c r="B19" s="138">
        <v>1</v>
      </c>
      <c r="C19" s="139">
        <v>0</v>
      </c>
      <c r="D19" s="139">
        <v>1</v>
      </c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40"/>
      <c r="Z19" s="302"/>
      <c r="AA19" s="303"/>
    </row>
    <row r="20" spans="1:27" ht="15.75" customHeight="1" x14ac:dyDescent="0.3">
      <c r="A20" s="298" t="s">
        <v>309</v>
      </c>
      <c r="B20" s="135" t="s">
        <v>39</v>
      </c>
      <c r="C20" s="136" t="s">
        <v>10</v>
      </c>
      <c r="D20" s="136" t="s">
        <v>53</v>
      </c>
      <c r="E20" s="136" t="s">
        <v>15</v>
      </c>
      <c r="F20" s="136" t="s">
        <v>41</v>
      </c>
      <c r="G20" s="136" t="s">
        <v>57</v>
      </c>
      <c r="H20" s="136" t="s">
        <v>56</v>
      </c>
      <c r="I20" s="136" t="s">
        <v>54</v>
      </c>
      <c r="J20" s="136" t="s">
        <v>55</v>
      </c>
      <c r="K20" s="136" t="s">
        <v>11</v>
      </c>
      <c r="L20" s="136" t="s">
        <v>18</v>
      </c>
      <c r="M20" s="136" t="s">
        <v>27</v>
      </c>
      <c r="N20" s="136" t="s">
        <v>19</v>
      </c>
      <c r="O20" s="136" t="s">
        <v>48</v>
      </c>
      <c r="P20" s="136" t="s">
        <v>38</v>
      </c>
      <c r="Q20" s="136" t="s">
        <v>10</v>
      </c>
      <c r="R20" s="136" t="s">
        <v>41</v>
      </c>
      <c r="S20" s="136" t="s">
        <v>11</v>
      </c>
      <c r="T20" s="137" t="s">
        <v>15</v>
      </c>
      <c r="U20" s="136" t="s">
        <v>11</v>
      </c>
      <c r="V20" s="136" t="s">
        <v>43</v>
      </c>
      <c r="W20" s="136" t="s">
        <v>57</v>
      </c>
      <c r="X20" s="136" t="s">
        <v>51</v>
      </c>
      <c r="Y20" s="136" t="s">
        <v>18</v>
      </c>
      <c r="Z20" s="300">
        <f>SUM(B21:Y21)</f>
        <v>1</v>
      </c>
      <c r="AA20" s="301"/>
    </row>
    <row r="21" spans="1:27" ht="15.75" customHeight="1" thickBot="1" x14ac:dyDescent="0.35">
      <c r="A21" s="299"/>
      <c r="B21" s="138">
        <v>1</v>
      </c>
      <c r="C21" s="139">
        <v>0</v>
      </c>
      <c r="D21" s="139">
        <v>0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302"/>
      <c r="AA21" s="303"/>
    </row>
    <row r="22" spans="1:27" ht="15.75" customHeight="1" x14ac:dyDescent="0.3">
      <c r="A22" s="314" t="s">
        <v>308</v>
      </c>
      <c r="B22" s="135" t="s">
        <v>39</v>
      </c>
      <c r="C22" s="136" t="s">
        <v>10</v>
      </c>
      <c r="D22" s="136" t="s">
        <v>44</v>
      </c>
      <c r="E22" s="136" t="s">
        <v>46</v>
      </c>
      <c r="F22" s="136" t="s">
        <v>41</v>
      </c>
      <c r="G22" s="136" t="s">
        <v>40</v>
      </c>
      <c r="H22" s="136" t="s">
        <v>16</v>
      </c>
      <c r="I22" s="136" t="s">
        <v>54</v>
      </c>
      <c r="J22" s="136" t="s">
        <v>42</v>
      </c>
      <c r="K22" s="136" t="s">
        <v>20</v>
      </c>
      <c r="L22" s="136" t="s">
        <v>18</v>
      </c>
      <c r="M22" s="136" t="s">
        <v>27</v>
      </c>
      <c r="N22" s="136" t="s">
        <v>19</v>
      </c>
      <c r="O22" s="136" t="s">
        <v>51</v>
      </c>
      <c r="P22" s="136" t="s">
        <v>9</v>
      </c>
      <c r="Q22" s="136" t="s">
        <v>10</v>
      </c>
      <c r="R22" s="136" t="s">
        <v>41</v>
      </c>
      <c r="S22" s="136" t="s">
        <v>11</v>
      </c>
      <c r="T22" s="137" t="s">
        <v>42</v>
      </c>
      <c r="U22" s="136" t="s">
        <v>47</v>
      </c>
      <c r="V22" s="136" t="s">
        <v>43</v>
      </c>
      <c r="W22" s="136" t="s">
        <v>12</v>
      </c>
      <c r="X22" s="136" t="s">
        <v>46</v>
      </c>
      <c r="Y22" s="136" t="s">
        <v>18</v>
      </c>
      <c r="Z22" s="300">
        <f>SUM(B23:Y23)</f>
        <v>2</v>
      </c>
      <c r="AA22" s="301"/>
    </row>
    <row r="23" spans="1:27" ht="15.75" customHeight="1" thickBot="1" x14ac:dyDescent="0.35">
      <c r="A23" s="315"/>
      <c r="B23" s="138">
        <v>1</v>
      </c>
      <c r="C23" s="139">
        <v>0</v>
      </c>
      <c r="D23" s="139">
        <v>1</v>
      </c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40"/>
      <c r="Z23" s="302"/>
      <c r="AA23" s="303"/>
    </row>
    <row r="24" spans="1:27" x14ac:dyDescent="0.3">
      <c r="A24" s="92" t="s">
        <v>295</v>
      </c>
      <c r="B24" s="141" t="s">
        <v>49</v>
      </c>
      <c r="C24" s="136" t="s">
        <v>10</v>
      </c>
      <c r="D24" s="136" t="s">
        <v>44</v>
      </c>
      <c r="E24" s="136" t="s">
        <v>46</v>
      </c>
      <c r="F24" s="136" t="s">
        <v>41</v>
      </c>
      <c r="G24" s="136" t="s">
        <v>40</v>
      </c>
      <c r="H24" s="136" t="s">
        <v>16</v>
      </c>
      <c r="I24" s="136" t="s">
        <v>52</v>
      </c>
      <c r="J24" s="136" t="s">
        <v>42</v>
      </c>
      <c r="K24" s="136" t="s">
        <v>20</v>
      </c>
      <c r="L24" s="136" t="s">
        <v>18</v>
      </c>
      <c r="M24" s="136" t="s">
        <v>27</v>
      </c>
      <c r="N24" s="136" t="s">
        <v>19</v>
      </c>
      <c r="O24" s="136" t="s">
        <v>48</v>
      </c>
      <c r="P24" s="136" t="s">
        <v>9</v>
      </c>
      <c r="Q24" s="136" t="s">
        <v>10</v>
      </c>
      <c r="R24" s="136" t="s">
        <v>41</v>
      </c>
      <c r="S24" s="136" t="s">
        <v>50</v>
      </c>
      <c r="T24" s="137" t="s">
        <v>15</v>
      </c>
      <c r="U24" s="136" t="s">
        <v>47</v>
      </c>
      <c r="V24" s="136" t="s">
        <v>43</v>
      </c>
      <c r="W24" s="136" t="s">
        <v>12</v>
      </c>
      <c r="X24" s="136" t="s">
        <v>51</v>
      </c>
      <c r="Y24" s="136" t="s">
        <v>18</v>
      </c>
      <c r="Z24" s="300">
        <f>SUM(B25:Y25)</f>
        <v>1</v>
      </c>
      <c r="AA24" s="301"/>
    </row>
    <row r="25" spans="1:27" ht="19.5" thickBot="1" x14ac:dyDescent="0.35">
      <c r="A25" s="91"/>
      <c r="B25" s="138">
        <v>0</v>
      </c>
      <c r="C25" s="139">
        <v>0</v>
      </c>
      <c r="D25" s="139">
        <v>1</v>
      </c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40"/>
      <c r="Z25" s="302"/>
      <c r="AA25" s="303"/>
    </row>
    <row r="26" spans="1:27" x14ac:dyDescent="0.3">
      <c r="A26" s="92" t="s">
        <v>565</v>
      </c>
      <c r="B26" s="135" t="s">
        <v>39</v>
      </c>
      <c r="C26" s="136" t="s">
        <v>10</v>
      </c>
      <c r="D26" s="136" t="s">
        <v>44</v>
      </c>
      <c r="E26" s="136" t="s">
        <v>15</v>
      </c>
      <c r="F26" s="136" t="s">
        <v>41</v>
      </c>
      <c r="G26" s="136" t="s">
        <v>57</v>
      </c>
      <c r="H26" s="136" t="s">
        <v>16</v>
      </c>
      <c r="I26" s="136" t="s">
        <v>52</v>
      </c>
      <c r="J26" s="136" t="s">
        <v>42</v>
      </c>
      <c r="K26" s="136" t="s">
        <v>11</v>
      </c>
      <c r="L26" s="136" t="s">
        <v>18</v>
      </c>
      <c r="M26" s="136" t="s">
        <v>45</v>
      </c>
      <c r="N26" s="136" t="s">
        <v>21</v>
      </c>
      <c r="O26" s="136" t="s">
        <v>48</v>
      </c>
      <c r="P26" s="136" t="s">
        <v>38</v>
      </c>
      <c r="Q26" s="136" t="s">
        <v>10</v>
      </c>
      <c r="R26" s="136" t="s">
        <v>41</v>
      </c>
      <c r="S26" s="136" t="s">
        <v>11</v>
      </c>
      <c r="T26" s="137" t="s">
        <v>42</v>
      </c>
      <c r="U26" s="136" t="s">
        <v>11</v>
      </c>
      <c r="V26" s="136" t="s">
        <v>49</v>
      </c>
      <c r="W26" s="136" t="s">
        <v>12</v>
      </c>
      <c r="X26" s="136" t="s">
        <v>46</v>
      </c>
      <c r="Y26" s="136" t="s">
        <v>18</v>
      </c>
      <c r="Z26" s="300">
        <f>SUM(B27:Y27)</f>
        <v>2</v>
      </c>
      <c r="AA26" s="301"/>
    </row>
    <row r="27" spans="1:27" ht="19.5" thickBot="1" x14ac:dyDescent="0.35">
      <c r="A27" s="91"/>
      <c r="B27" s="138">
        <v>1</v>
      </c>
      <c r="C27" s="139">
        <v>0</v>
      </c>
      <c r="D27" s="139">
        <v>1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0"/>
      <c r="Z27" s="302"/>
      <c r="AA27" s="303"/>
    </row>
    <row r="28" spans="1:27" x14ac:dyDescent="0.3">
      <c r="A28" s="92" t="s">
        <v>595</v>
      </c>
      <c r="B28" s="135" t="s">
        <v>39</v>
      </c>
      <c r="C28" s="136" t="s">
        <v>12</v>
      </c>
      <c r="D28" s="136" t="s">
        <v>44</v>
      </c>
      <c r="E28" s="136" t="s">
        <v>46</v>
      </c>
      <c r="F28" s="136" t="s">
        <v>41</v>
      </c>
      <c r="G28" s="136" t="s">
        <v>40</v>
      </c>
      <c r="H28" s="136" t="s">
        <v>16</v>
      </c>
      <c r="I28" s="136" t="s">
        <v>54</v>
      </c>
      <c r="J28" s="136" t="s">
        <v>55</v>
      </c>
      <c r="K28" s="136" t="s">
        <v>11</v>
      </c>
      <c r="L28" s="136" t="s">
        <v>18</v>
      </c>
      <c r="M28" s="136" t="s">
        <v>27</v>
      </c>
      <c r="N28" s="136" t="s">
        <v>19</v>
      </c>
      <c r="O28" s="136" t="s">
        <v>48</v>
      </c>
      <c r="P28" s="136" t="s">
        <v>38</v>
      </c>
      <c r="Q28" s="136" t="s">
        <v>10</v>
      </c>
      <c r="R28" s="136" t="s">
        <v>41</v>
      </c>
      <c r="S28" s="136" t="s">
        <v>11</v>
      </c>
      <c r="T28" s="137" t="s">
        <v>15</v>
      </c>
      <c r="U28" s="136" t="s">
        <v>11</v>
      </c>
      <c r="V28" s="136" t="s">
        <v>43</v>
      </c>
      <c r="W28" s="136" t="s">
        <v>12</v>
      </c>
      <c r="X28" s="136" t="s">
        <v>46</v>
      </c>
      <c r="Y28" s="136" t="s">
        <v>18</v>
      </c>
      <c r="Z28" s="300">
        <f>SUM(B29:Y29)</f>
        <v>3</v>
      </c>
      <c r="AA28" s="301"/>
    </row>
    <row r="29" spans="1:27" x14ac:dyDescent="0.3">
      <c r="A29" s="91"/>
      <c r="B29" s="138">
        <v>1</v>
      </c>
      <c r="C29" s="139">
        <v>1</v>
      </c>
      <c r="D29" s="139">
        <v>1</v>
      </c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0"/>
      <c r="Z29" s="302"/>
      <c r="AA29" s="303"/>
    </row>
    <row r="30" spans="1:27" x14ac:dyDescent="0.3">
      <c r="A30" s="92" t="s">
        <v>596</v>
      </c>
      <c r="B30" s="135" t="s">
        <v>39</v>
      </c>
      <c r="C30" s="136" t="s">
        <v>12</v>
      </c>
      <c r="D30" s="136" t="s">
        <v>44</v>
      </c>
      <c r="E30" s="136" t="s">
        <v>15</v>
      </c>
      <c r="F30" s="136" t="s">
        <v>38</v>
      </c>
      <c r="G30" s="136" t="s">
        <v>57</v>
      </c>
      <c r="H30" s="136" t="s">
        <v>16</v>
      </c>
      <c r="I30" s="136" t="s">
        <v>54</v>
      </c>
      <c r="J30" s="136" t="s">
        <v>42</v>
      </c>
      <c r="K30" s="136" t="s">
        <v>11</v>
      </c>
      <c r="L30" s="136" t="s">
        <v>18</v>
      </c>
      <c r="M30" s="136" t="s">
        <v>27</v>
      </c>
      <c r="N30" s="136" t="s">
        <v>19</v>
      </c>
      <c r="O30" s="136" t="s">
        <v>51</v>
      </c>
      <c r="P30" s="136" t="s">
        <v>38</v>
      </c>
      <c r="Q30" s="136" t="s">
        <v>49</v>
      </c>
      <c r="R30" s="136" t="s">
        <v>41</v>
      </c>
      <c r="S30" s="136" t="s">
        <v>11</v>
      </c>
      <c r="T30" s="137" t="s">
        <v>42</v>
      </c>
      <c r="U30" s="136" t="s">
        <v>11</v>
      </c>
      <c r="V30" s="136" t="s">
        <v>43</v>
      </c>
      <c r="W30" s="136" t="s">
        <v>12</v>
      </c>
      <c r="X30" s="136" t="s">
        <v>51</v>
      </c>
      <c r="Y30" s="136" t="s">
        <v>18</v>
      </c>
      <c r="Z30" s="300">
        <f>SUM(B31:Y31)</f>
        <v>3</v>
      </c>
      <c r="AA30" s="301"/>
    </row>
    <row r="31" spans="1:27" ht="19.5" thickBot="1" x14ac:dyDescent="0.35">
      <c r="A31" s="91"/>
      <c r="B31" s="138">
        <v>1</v>
      </c>
      <c r="C31" s="139">
        <v>1</v>
      </c>
      <c r="D31" s="139">
        <v>1</v>
      </c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40"/>
      <c r="Z31" s="302"/>
      <c r="AA31" s="303"/>
    </row>
    <row r="32" spans="1:27" x14ac:dyDescent="0.3">
      <c r="A32" s="92" t="s">
        <v>297</v>
      </c>
      <c r="B32" s="135" t="s">
        <v>39</v>
      </c>
      <c r="C32" s="136" t="s">
        <v>10</v>
      </c>
      <c r="D32" s="136" t="s">
        <v>53</v>
      </c>
      <c r="E32" s="136" t="s">
        <v>15</v>
      </c>
      <c r="F32" s="136" t="s">
        <v>41</v>
      </c>
      <c r="G32" s="136" t="s">
        <v>57</v>
      </c>
      <c r="H32" s="136" t="s">
        <v>56</v>
      </c>
      <c r="I32" s="136" t="s">
        <v>54</v>
      </c>
      <c r="J32" s="136" t="s">
        <v>55</v>
      </c>
      <c r="K32" s="136" t="s">
        <v>11</v>
      </c>
      <c r="L32" s="136" t="s">
        <v>18</v>
      </c>
      <c r="M32" s="136" t="s">
        <v>27</v>
      </c>
      <c r="N32" s="136" t="s">
        <v>19</v>
      </c>
      <c r="O32" s="136" t="s">
        <v>48</v>
      </c>
      <c r="P32" s="136" t="s">
        <v>38</v>
      </c>
      <c r="Q32" s="136" t="s">
        <v>10</v>
      </c>
      <c r="R32" s="136" t="s">
        <v>41</v>
      </c>
      <c r="S32" s="136" t="s">
        <v>11</v>
      </c>
      <c r="T32" s="137" t="s">
        <v>15</v>
      </c>
      <c r="U32" s="136" t="s">
        <v>11</v>
      </c>
      <c r="V32" s="136" t="s">
        <v>43</v>
      </c>
      <c r="W32" s="136" t="s">
        <v>57</v>
      </c>
      <c r="X32" s="136" t="s">
        <v>51</v>
      </c>
      <c r="Y32" s="136" t="s">
        <v>18</v>
      </c>
      <c r="Z32" s="300">
        <f>SUM(B33:Y33)</f>
        <v>1</v>
      </c>
      <c r="AA32" s="301"/>
    </row>
    <row r="33" spans="1:27" ht="19.5" thickBot="1" x14ac:dyDescent="0.35">
      <c r="A33" s="91"/>
      <c r="B33" s="138">
        <v>1</v>
      </c>
      <c r="C33" s="139">
        <v>0</v>
      </c>
      <c r="D33" s="139">
        <v>0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0"/>
      <c r="Z33" s="302"/>
      <c r="AA33" s="303"/>
    </row>
    <row r="34" spans="1:27" x14ac:dyDescent="0.3">
      <c r="A34" s="93" t="s">
        <v>307</v>
      </c>
      <c r="B34" s="135" t="s">
        <v>39</v>
      </c>
      <c r="C34" s="136" t="s">
        <v>12</v>
      </c>
      <c r="D34" s="136" t="s">
        <v>53</v>
      </c>
      <c r="E34" s="136" t="s">
        <v>15</v>
      </c>
      <c r="F34" s="136" t="s">
        <v>41</v>
      </c>
      <c r="G34" s="136" t="s">
        <v>57</v>
      </c>
      <c r="H34" s="136" t="s">
        <v>16</v>
      </c>
      <c r="I34" s="136" t="s">
        <v>54</v>
      </c>
      <c r="J34" s="136" t="s">
        <v>55</v>
      </c>
      <c r="K34" s="136" t="s">
        <v>11</v>
      </c>
      <c r="L34" s="136" t="s">
        <v>17</v>
      </c>
      <c r="M34" s="136" t="s">
        <v>27</v>
      </c>
      <c r="N34" s="136" t="s">
        <v>19</v>
      </c>
      <c r="O34" s="136" t="s">
        <v>48</v>
      </c>
      <c r="P34" s="136" t="s">
        <v>9</v>
      </c>
      <c r="Q34" s="136" t="s">
        <v>49</v>
      </c>
      <c r="R34" s="136" t="s">
        <v>41</v>
      </c>
      <c r="S34" s="136" t="s">
        <v>11</v>
      </c>
      <c r="T34" s="137" t="s">
        <v>15</v>
      </c>
      <c r="U34" s="136" t="s">
        <v>11</v>
      </c>
      <c r="V34" s="136" t="s">
        <v>43</v>
      </c>
      <c r="W34" s="136" t="s">
        <v>57</v>
      </c>
      <c r="X34" s="136" t="s">
        <v>51</v>
      </c>
      <c r="Y34" s="136" t="s">
        <v>18</v>
      </c>
      <c r="Z34" s="300">
        <f>SUM(B35:Y35)</f>
        <v>2</v>
      </c>
      <c r="AA34" s="301"/>
    </row>
    <row r="35" spans="1:27" ht="19.5" thickBot="1" x14ac:dyDescent="0.35">
      <c r="A35" s="94"/>
      <c r="B35" s="138">
        <v>1</v>
      </c>
      <c r="C35" s="139">
        <v>1</v>
      </c>
      <c r="D35" s="139">
        <v>0</v>
      </c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40"/>
      <c r="Z35" s="302"/>
      <c r="AA35" s="303"/>
    </row>
    <row r="36" spans="1:27" ht="20.25" thickBot="1" x14ac:dyDescent="0.4">
      <c r="A36" s="95" t="s">
        <v>22</v>
      </c>
      <c r="B36" s="142" t="s">
        <v>39</v>
      </c>
      <c r="C36" s="142" t="s">
        <v>12</v>
      </c>
      <c r="D36" s="142" t="s">
        <v>44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3"/>
      <c r="R36" s="142"/>
      <c r="S36" s="143"/>
      <c r="T36" s="142"/>
      <c r="U36" s="143"/>
      <c r="V36" s="142"/>
      <c r="W36" s="143"/>
      <c r="X36" s="142"/>
      <c r="Y36" s="143"/>
      <c r="Z36" s="96"/>
      <c r="AA36" s="97"/>
    </row>
    <row r="37" spans="1:27" ht="15" customHeight="1" thickTop="1" x14ac:dyDescent="0.3">
      <c r="A37" s="304" t="s">
        <v>13</v>
      </c>
      <c r="B37" s="117"/>
      <c r="C37" s="117"/>
      <c r="D37" s="306" t="s">
        <v>136</v>
      </c>
      <c r="E37" s="306"/>
      <c r="F37" s="119"/>
      <c r="G37" s="120"/>
      <c r="H37" s="118"/>
      <c r="I37" s="306" t="s">
        <v>0</v>
      </c>
      <c r="J37" s="306"/>
      <c r="K37" s="120"/>
      <c r="L37" s="121"/>
      <c r="M37" s="118"/>
      <c r="N37" s="306" t="s">
        <v>1</v>
      </c>
      <c r="O37" s="306"/>
      <c r="P37" s="119"/>
      <c r="Q37" s="122"/>
      <c r="R37" s="118"/>
      <c r="S37" s="118"/>
      <c r="T37" s="119" t="s">
        <v>2</v>
      </c>
      <c r="U37" s="121"/>
      <c r="V37" s="123"/>
      <c r="W37" s="119"/>
      <c r="X37" s="119" t="s">
        <v>562</v>
      </c>
      <c r="Y37" s="119"/>
      <c r="Z37" s="307" t="s">
        <v>32</v>
      </c>
      <c r="AA37" s="308"/>
    </row>
    <row r="38" spans="1:27" x14ac:dyDescent="0.3">
      <c r="A38" s="305"/>
      <c r="B38" s="124">
        <v>4</v>
      </c>
      <c r="C38" s="125">
        <v>5</v>
      </c>
      <c r="D38" s="125">
        <v>8</v>
      </c>
      <c r="E38" s="125">
        <v>14</v>
      </c>
      <c r="F38" s="125">
        <v>22</v>
      </c>
      <c r="G38" s="126">
        <v>29</v>
      </c>
      <c r="H38" s="124">
        <v>5</v>
      </c>
      <c r="I38" s="127">
        <v>12</v>
      </c>
      <c r="J38" s="125">
        <v>20</v>
      </c>
      <c r="K38" s="126">
        <v>26</v>
      </c>
      <c r="L38" s="127">
        <v>2</v>
      </c>
      <c r="M38" s="125">
        <v>9</v>
      </c>
      <c r="N38" s="125">
        <v>13</v>
      </c>
      <c r="O38" s="125">
        <v>23</v>
      </c>
      <c r="P38" s="125">
        <v>27</v>
      </c>
      <c r="Q38" s="128">
        <v>27</v>
      </c>
      <c r="R38" s="127">
        <v>7</v>
      </c>
      <c r="S38" s="129">
        <v>11</v>
      </c>
      <c r="T38" s="129">
        <v>18</v>
      </c>
      <c r="U38" s="129">
        <v>21</v>
      </c>
      <c r="V38" s="130">
        <v>25</v>
      </c>
      <c r="W38" s="127" t="s">
        <v>561</v>
      </c>
      <c r="X38" s="125" t="s">
        <v>561</v>
      </c>
      <c r="Y38" s="129" t="s">
        <v>561</v>
      </c>
      <c r="Z38" s="309"/>
      <c r="AA38" s="310"/>
    </row>
    <row r="39" spans="1:27" ht="19.5" thickBot="1" x14ac:dyDescent="0.35">
      <c r="A39" s="90" t="s">
        <v>14</v>
      </c>
      <c r="B39" s="131">
        <v>1</v>
      </c>
      <c r="C39" s="132">
        <v>2</v>
      </c>
      <c r="D39" s="132">
        <v>3</v>
      </c>
      <c r="E39" s="132">
        <v>4</v>
      </c>
      <c r="F39" s="132">
        <v>5</v>
      </c>
      <c r="G39" s="133">
        <v>6</v>
      </c>
      <c r="H39" s="134">
        <v>7</v>
      </c>
      <c r="I39" s="134">
        <v>8</v>
      </c>
      <c r="J39" s="132">
        <v>9</v>
      </c>
      <c r="K39" s="133">
        <v>10</v>
      </c>
      <c r="L39" s="134">
        <v>11</v>
      </c>
      <c r="M39" s="132">
        <v>12</v>
      </c>
      <c r="N39" s="132">
        <v>13</v>
      </c>
      <c r="O39" s="132">
        <v>14</v>
      </c>
      <c r="P39" s="132">
        <v>15</v>
      </c>
      <c r="Q39" s="133">
        <v>16</v>
      </c>
      <c r="R39" s="134">
        <v>17</v>
      </c>
      <c r="S39" s="132">
        <v>18</v>
      </c>
      <c r="T39" s="132">
        <v>19</v>
      </c>
      <c r="U39" s="134">
        <v>20</v>
      </c>
      <c r="V39" s="133">
        <v>21</v>
      </c>
      <c r="W39" s="134">
        <v>22</v>
      </c>
      <c r="X39" s="132">
        <v>23</v>
      </c>
      <c r="Y39" s="132">
        <v>24</v>
      </c>
      <c r="Z39" s="311"/>
      <c r="AA39" s="312"/>
    </row>
    <row r="40" spans="1:27" x14ac:dyDescent="0.3">
      <c r="A40" s="314" t="s">
        <v>306</v>
      </c>
      <c r="B40" s="135" t="s">
        <v>39</v>
      </c>
      <c r="C40" s="136" t="s">
        <v>10</v>
      </c>
      <c r="D40" s="136" t="s">
        <v>44</v>
      </c>
      <c r="E40" s="136" t="s">
        <v>15</v>
      </c>
      <c r="F40" s="136" t="s">
        <v>41</v>
      </c>
      <c r="G40" s="136" t="s">
        <v>40</v>
      </c>
      <c r="H40" s="136" t="s">
        <v>56</v>
      </c>
      <c r="I40" s="136" t="s">
        <v>54</v>
      </c>
      <c r="J40" s="136" t="s">
        <v>55</v>
      </c>
      <c r="K40" s="136" t="s">
        <v>11</v>
      </c>
      <c r="L40" s="136" t="s">
        <v>18</v>
      </c>
      <c r="M40" s="136" t="s">
        <v>27</v>
      </c>
      <c r="N40" s="136" t="s">
        <v>21</v>
      </c>
      <c r="O40" s="136" t="s">
        <v>48</v>
      </c>
      <c r="P40" s="136" t="s">
        <v>38</v>
      </c>
      <c r="Q40" s="136" t="s">
        <v>10</v>
      </c>
      <c r="R40" s="136" t="s">
        <v>41</v>
      </c>
      <c r="S40" s="136" t="s">
        <v>11</v>
      </c>
      <c r="T40" s="137" t="s">
        <v>15</v>
      </c>
      <c r="U40" s="136" t="s">
        <v>11</v>
      </c>
      <c r="V40" s="136" t="s">
        <v>43</v>
      </c>
      <c r="W40" s="136" t="s">
        <v>57</v>
      </c>
      <c r="X40" s="136" t="s">
        <v>51</v>
      </c>
      <c r="Y40" s="136" t="s">
        <v>18</v>
      </c>
      <c r="Z40" s="300">
        <f>SUM(B41:Y41)</f>
        <v>2</v>
      </c>
      <c r="AA40" s="301"/>
    </row>
    <row r="41" spans="1:27" ht="19.5" thickBot="1" x14ac:dyDescent="0.35">
      <c r="A41" s="315"/>
      <c r="B41" s="138">
        <v>1</v>
      </c>
      <c r="C41" s="139">
        <v>0</v>
      </c>
      <c r="D41" s="139">
        <v>1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40"/>
      <c r="Z41" s="302"/>
      <c r="AA41" s="303"/>
    </row>
    <row r="42" spans="1:27" x14ac:dyDescent="0.3">
      <c r="A42" s="314" t="s">
        <v>298</v>
      </c>
      <c r="B42" s="135" t="s">
        <v>39</v>
      </c>
      <c r="C42" s="136" t="s">
        <v>10</v>
      </c>
      <c r="D42" s="136" t="s">
        <v>44</v>
      </c>
      <c r="E42" s="136" t="s">
        <v>15</v>
      </c>
      <c r="F42" s="136" t="s">
        <v>41</v>
      </c>
      <c r="G42" s="136" t="s">
        <v>57</v>
      </c>
      <c r="H42" s="136" t="s">
        <v>16</v>
      </c>
      <c r="I42" s="136" t="s">
        <v>54</v>
      </c>
      <c r="J42" s="136" t="s">
        <v>42</v>
      </c>
      <c r="K42" s="136" t="s">
        <v>11</v>
      </c>
      <c r="L42" s="136" t="s">
        <v>18</v>
      </c>
      <c r="M42" s="136" t="s">
        <v>27</v>
      </c>
      <c r="N42" s="136" t="s">
        <v>19</v>
      </c>
      <c r="O42" s="136" t="s">
        <v>51</v>
      </c>
      <c r="P42" s="136" t="s">
        <v>38</v>
      </c>
      <c r="Q42" s="136" t="s">
        <v>10</v>
      </c>
      <c r="R42" s="136" t="s">
        <v>41</v>
      </c>
      <c r="S42" s="136" t="s">
        <v>11</v>
      </c>
      <c r="T42" s="137" t="s">
        <v>42</v>
      </c>
      <c r="U42" s="136" t="s">
        <v>11</v>
      </c>
      <c r="V42" s="136" t="s">
        <v>49</v>
      </c>
      <c r="W42" s="136" t="s">
        <v>12</v>
      </c>
      <c r="X42" s="136" t="s">
        <v>46</v>
      </c>
      <c r="Y42" s="136" t="s">
        <v>42</v>
      </c>
      <c r="Z42" s="300">
        <f>SUM(B43:Y43)</f>
        <v>2</v>
      </c>
      <c r="AA42" s="301"/>
    </row>
    <row r="43" spans="1:27" ht="19.5" thickBot="1" x14ac:dyDescent="0.35">
      <c r="A43" s="315"/>
      <c r="B43" s="138">
        <v>1</v>
      </c>
      <c r="C43" s="139">
        <v>0</v>
      </c>
      <c r="D43" s="139">
        <v>1</v>
      </c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40"/>
      <c r="Z43" s="302"/>
      <c r="AA43" s="303"/>
    </row>
    <row r="44" spans="1:27" x14ac:dyDescent="0.3">
      <c r="A44" s="298" t="s">
        <v>600</v>
      </c>
      <c r="B44" s="135" t="s">
        <v>39</v>
      </c>
      <c r="C44" s="136" t="s">
        <v>12</v>
      </c>
      <c r="D44" s="136" t="s">
        <v>44</v>
      </c>
      <c r="E44" s="136" t="s">
        <v>15</v>
      </c>
      <c r="F44" s="136" t="s">
        <v>41</v>
      </c>
      <c r="G44" s="136" t="s">
        <v>57</v>
      </c>
      <c r="H44" s="136" t="s">
        <v>16</v>
      </c>
      <c r="I44" s="136" t="s">
        <v>54</v>
      </c>
      <c r="J44" s="136" t="s">
        <v>55</v>
      </c>
      <c r="K44" s="136" t="s">
        <v>11</v>
      </c>
      <c r="L44" s="136" t="s">
        <v>18</v>
      </c>
      <c r="M44" s="136" t="s">
        <v>27</v>
      </c>
      <c r="N44" s="136" t="s">
        <v>19</v>
      </c>
      <c r="O44" s="136" t="s">
        <v>48</v>
      </c>
      <c r="P44" s="136" t="s">
        <v>38</v>
      </c>
      <c r="Q44" s="136" t="s">
        <v>10</v>
      </c>
      <c r="R44" s="136" t="s">
        <v>41</v>
      </c>
      <c r="S44" s="136" t="s">
        <v>11</v>
      </c>
      <c r="T44" s="137" t="s">
        <v>42</v>
      </c>
      <c r="U44" s="136" t="s">
        <v>11</v>
      </c>
      <c r="V44" s="136" t="s">
        <v>49</v>
      </c>
      <c r="W44" s="136" t="s">
        <v>12</v>
      </c>
      <c r="X44" s="136" t="s">
        <v>51</v>
      </c>
      <c r="Y44" s="136" t="s">
        <v>18</v>
      </c>
      <c r="Z44" s="300">
        <f>SUM(B45:Y45)</f>
        <v>3</v>
      </c>
      <c r="AA44" s="301"/>
    </row>
    <row r="45" spans="1:27" ht="19.5" thickBot="1" x14ac:dyDescent="0.35">
      <c r="A45" s="299"/>
      <c r="B45" s="138">
        <v>1</v>
      </c>
      <c r="C45" s="139">
        <v>1</v>
      </c>
      <c r="D45" s="139">
        <v>1</v>
      </c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302"/>
      <c r="AA45" s="303"/>
    </row>
    <row r="46" spans="1:27" x14ac:dyDescent="0.3">
      <c r="A46" s="314" t="s">
        <v>599</v>
      </c>
      <c r="B46" s="135" t="s">
        <v>39</v>
      </c>
      <c r="C46" s="136" t="s">
        <v>12</v>
      </c>
      <c r="D46" s="136" t="s">
        <v>44</v>
      </c>
      <c r="E46" s="136" t="s">
        <v>15</v>
      </c>
      <c r="F46" s="136" t="s">
        <v>41</v>
      </c>
      <c r="G46" s="136" t="s">
        <v>40</v>
      </c>
      <c r="H46" s="136" t="s">
        <v>16</v>
      </c>
      <c r="I46" s="136" t="s">
        <v>54</v>
      </c>
      <c r="J46" s="136" t="s">
        <v>55</v>
      </c>
      <c r="K46" s="136" t="s">
        <v>20</v>
      </c>
      <c r="L46" s="136" t="s">
        <v>18</v>
      </c>
      <c r="M46" s="136" t="s">
        <v>27</v>
      </c>
      <c r="N46" s="136" t="s">
        <v>19</v>
      </c>
      <c r="O46" s="136" t="s">
        <v>48</v>
      </c>
      <c r="P46" s="136" t="s">
        <v>38</v>
      </c>
      <c r="Q46" s="136" t="s">
        <v>10</v>
      </c>
      <c r="R46" s="136" t="s">
        <v>41</v>
      </c>
      <c r="S46" s="136" t="s">
        <v>11</v>
      </c>
      <c r="T46" s="137" t="s">
        <v>15</v>
      </c>
      <c r="U46" s="136" t="s">
        <v>11</v>
      </c>
      <c r="V46" s="136" t="s">
        <v>43</v>
      </c>
      <c r="W46" s="136" t="s">
        <v>57</v>
      </c>
      <c r="X46" s="136" t="s">
        <v>51</v>
      </c>
      <c r="Y46" s="136" t="s">
        <v>18</v>
      </c>
      <c r="Z46" s="300">
        <f>SUM(B47:Y47)</f>
        <v>3</v>
      </c>
      <c r="AA46" s="301"/>
    </row>
    <row r="47" spans="1:27" ht="19.5" thickBot="1" x14ac:dyDescent="0.35">
      <c r="A47" s="315"/>
      <c r="B47" s="138">
        <v>1</v>
      </c>
      <c r="C47" s="139">
        <v>1</v>
      </c>
      <c r="D47" s="139">
        <v>1</v>
      </c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40"/>
      <c r="Z47" s="302"/>
      <c r="AA47" s="303"/>
    </row>
    <row r="48" spans="1:27" x14ac:dyDescent="0.3">
      <c r="A48" s="92" t="s">
        <v>601</v>
      </c>
      <c r="B48" s="141" t="s">
        <v>39</v>
      </c>
      <c r="C48" s="136" t="s">
        <v>12</v>
      </c>
      <c r="D48" s="136" t="s">
        <v>44</v>
      </c>
      <c r="E48" s="136" t="s">
        <v>15</v>
      </c>
      <c r="F48" s="136" t="s">
        <v>38</v>
      </c>
      <c r="G48" s="136" t="s">
        <v>57</v>
      </c>
      <c r="H48" s="136" t="s">
        <v>16</v>
      </c>
      <c r="I48" s="136" t="s">
        <v>54</v>
      </c>
      <c r="J48" s="136" t="s">
        <v>42</v>
      </c>
      <c r="K48" s="136" t="s">
        <v>20</v>
      </c>
      <c r="L48" s="136" t="s">
        <v>18</v>
      </c>
      <c r="M48" s="136" t="s">
        <v>27</v>
      </c>
      <c r="N48" s="136" t="s">
        <v>21</v>
      </c>
      <c r="O48" s="136" t="s">
        <v>48</v>
      </c>
      <c r="P48" s="136" t="s">
        <v>38</v>
      </c>
      <c r="Q48" s="136" t="s">
        <v>10</v>
      </c>
      <c r="R48" s="136" t="s">
        <v>41</v>
      </c>
      <c r="S48" s="136" t="s">
        <v>11</v>
      </c>
      <c r="T48" s="137" t="s">
        <v>42</v>
      </c>
      <c r="U48" s="136" t="s">
        <v>11</v>
      </c>
      <c r="V48" s="136" t="s">
        <v>43</v>
      </c>
      <c r="W48" s="136" t="s">
        <v>12</v>
      </c>
      <c r="X48" s="136" t="s">
        <v>51</v>
      </c>
      <c r="Y48" s="136" t="s">
        <v>18</v>
      </c>
      <c r="Z48" s="300">
        <f>SUM(B49:Y49)</f>
        <v>3</v>
      </c>
      <c r="AA48" s="301"/>
    </row>
    <row r="49" spans="1:27" ht="19.5" thickBot="1" x14ac:dyDescent="0.35">
      <c r="A49" s="91"/>
      <c r="B49" s="138">
        <v>1</v>
      </c>
      <c r="C49" s="139">
        <v>1</v>
      </c>
      <c r="D49" s="139">
        <v>1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40"/>
      <c r="Z49" s="302"/>
      <c r="AA49" s="303"/>
    </row>
    <row r="50" spans="1:27" x14ac:dyDescent="0.3">
      <c r="A50" s="93" t="s">
        <v>606</v>
      </c>
      <c r="B50" s="135" t="s">
        <v>39</v>
      </c>
      <c r="C50" s="136" t="s">
        <v>12</v>
      </c>
      <c r="D50" s="136" t="s">
        <v>53</v>
      </c>
      <c r="E50" s="136" t="s">
        <v>15</v>
      </c>
      <c r="F50" s="136" t="s">
        <v>41</v>
      </c>
      <c r="G50" s="136" t="s">
        <v>57</v>
      </c>
      <c r="H50" s="136" t="s">
        <v>56</v>
      </c>
      <c r="I50" s="136" t="s">
        <v>54</v>
      </c>
      <c r="J50" s="136" t="s">
        <v>55</v>
      </c>
      <c r="K50" s="136" t="s">
        <v>11</v>
      </c>
      <c r="L50" s="136" t="s">
        <v>18</v>
      </c>
      <c r="M50" s="136" t="s">
        <v>27</v>
      </c>
      <c r="N50" s="136" t="s">
        <v>19</v>
      </c>
      <c r="O50" s="136" t="s">
        <v>51</v>
      </c>
      <c r="P50" s="136" t="s">
        <v>9</v>
      </c>
      <c r="Q50" s="136" t="s">
        <v>10</v>
      </c>
      <c r="R50" s="136" t="s">
        <v>41</v>
      </c>
      <c r="S50" s="136" t="s">
        <v>50</v>
      </c>
      <c r="T50" s="137" t="s">
        <v>42</v>
      </c>
      <c r="U50" s="136" t="s">
        <v>11</v>
      </c>
      <c r="V50" s="136" t="s">
        <v>43</v>
      </c>
      <c r="W50" s="136" t="s">
        <v>12</v>
      </c>
      <c r="X50" s="136" t="s">
        <v>51</v>
      </c>
      <c r="Y50" s="136" t="s">
        <v>18</v>
      </c>
      <c r="Z50" s="300">
        <f>SUM(B51:Y51)</f>
        <v>2</v>
      </c>
      <c r="AA50" s="301"/>
    </row>
    <row r="51" spans="1:27" ht="19.5" thickBot="1" x14ac:dyDescent="0.35">
      <c r="A51" s="94"/>
      <c r="B51" s="138">
        <v>1</v>
      </c>
      <c r="C51" s="139">
        <v>1</v>
      </c>
      <c r="D51" s="139">
        <v>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0"/>
      <c r="Z51" s="302"/>
      <c r="AA51" s="303"/>
    </row>
    <row r="52" spans="1:27" x14ac:dyDescent="0.3">
      <c r="A52" s="92" t="s">
        <v>608</v>
      </c>
      <c r="B52" s="135" t="s">
        <v>39</v>
      </c>
      <c r="C52" s="136" t="s">
        <v>10</v>
      </c>
      <c r="D52" s="136" t="s">
        <v>44</v>
      </c>
      <c r="E52" s="136" t="s">
        <v>15</v>
      </c>
      <c r="F52" s="136" t="s">
        <v>41</v>
      </c>
      <c r="G52" s="136" t="s">
        <v>57</v>
      </c>
      <c r="H52" s="136" t="s">
        <v>16</v>
      </c>
      <c r="I52" s="136" t="s">
        <v>54</v>
      </c>
      <c r="J52" s="136" t="s">
        <v>55</v>
      </c>
      <c r="K52" s="136" t="s">
        <v>11</v>
      </c>
      <c r="L52" s="136" t="s">
        <v>18</v>
      </c>
      <c r="M52" s="136" t="s">
        <v>27</v>
      </c>
      <c r="N52" s="136" t="s">
        <v>21</v>
      </c>
      <c r="O52" s="136" t="s">
        <v>51</v>
      </c>
      <c r="P52" s="136" t="s">
        <v>38</v>
      </c>
      <c r="Q52" s="136" t="s">
        <v>10</v>
      </c>
      <c r="R52" s="136" t="s">
        <v>41</v>
      </c>
      <c r="S52" s="136" t="s">
        <v>11</v>
      </c>
      <c r="T52" s="137" t="s">
        <v>15</v>
      </c>
      <c r="U52" s="136" t="s">
        <v>11</v>
      </c>
      <c r="V52" s="136" t="s">
        <v>43</v>
      </c>
      <c r="W52" s="136" t="s">
        <v>57</v>
      </c>
      <c r="X52" s="136" t="s">
        <v>51</v>
      </c>
      <c r="Y52" s="136" t="s">
        <v>18</v>
      </c>
      <c r="Z52" s="300">
        <f>SUM(B53:Y53)</f>
        <v>2</v>
      </c>
      <c r="AA52" s="301"/>
    </row>
    <row r="53" spans="1:27" ht="19.5" thickBot="1" x14ac:dyDescent="0.35">
      <c r="A53" s="91"/>
      <c r="B53" s="138">
        <v>1</v>
      </c>
      <c r="C53" s="139">
        <v>0</v>
      </c>
      <c r="D53" s="139">
        <v>1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40"/>
      <c r="Z53" s="302"/>
      <c r="AA53" s="303"/>
    </row>
    <row r="54" spans="1:27" x14ac:dyDescent="0.3">
      <c r="A54" s="93" t="s">
        <v>611</v>
      </c>
      <c r="B54" s="135" t="s">
        <v>39</v>
      </c>
      <c r="C54" s="136" t="s">
        <v>10</v>
      </c>
      <c r="D54" s="136" t="s">
        <v>44</v>
      </c>
      <c r="E54" s="136" t="s">
        <v>15</v>
      </c>
      <c r="F54" s="136" t="s">
        <v>41</v>
      </c>
      <c r="G54" s="136" t="s">
        <v>40</v>
      </c>
      <c r="H54" s="136" t="s">
        <v>56</v>
      </c>
      <c r="I54" s="136" t="s">
        <v>54</v>
      </c>
      <c r="J54" s="136" t="s">
        <v>55</v>
      </c>
      <c r="K54" s="136" t="s">
        <v>11</v>
      </c>
      <c r="L54" s="136" t="s">
        <v>18</v>
      </c>
      <c r="M54" s="136" t="s">
        <v>27</v>
      </c>
      <c r="N54" s="136" t="s">
        <v>19</v>
      </c>
      <c r="O54" s="136" t="s">
        <v>48</v>
      </c>
      <c r="P54" s="136" t="s">
        <v>38</v>
      </c>
      <c r="Q54" s="136" t="s">
        <v>10</v>
      </c>
      <c r="R54" s="136" t="s">
        <v>41</v>
      </c>
      <c r="S54" s="136" t="s">
        <v>50</v>
      </c>
      <c r="T54" s="137" t="s">
        <v>15</v>
      </c>
      <c r="U54" s="136" t="s">
        <v>11</v>
      </c>
      <c r="V54" s="136" t="s">
        <v>43</v>
      </c>
      <c r="W54" s="136" t="s">
        <v>57</v>
      </c>
      <c r="X54" s="136" t="s">
        <v>46</v>
      </c>
      <c r="Y54" s="136" t="s">
        <v>18</v>
      </c>
      <c r="Z54" s="300">
        <f>SUM(B55:Y55)</f>
        <v>2</v>
      </c>
      <c r="AA54" s="301"/>
    </row>
    <row r="55" spans="1:27" ht="19.5" thickBot="1" x14ac:dyDescent="0.35">
      <c r="A55" s="94"/>
      <c r="B55" s="138">
        <v>1</v>
      </c>
      <c r="C55" s="139">
        <v>0</v>
      </c>
      <c r="D55" s="139">
        <v>1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40"/>
      <c r="Z55" s="302"/>
      <c r="AA55" s="303"/>
    </row>
    <row r="56" spans="1:27" x14ac:dyDescent="0.3">
      <c r="A56" s="92" t="s">
        <v>573</v>
      </c>
      <c r="B56" s="135" t="s">
        <v>39</v>
      </c>
      <c r="C56" s="136" t="s">
        <v>10</v>
      </c>
      <c r="D56" s="136" t="s">
        <v>44</v>
      </c>
      <c r="E56" s="136" t="s">
        <v>15</v>
      </c>
      <c r="F56" s="136" t="s">
        <v>41</v>
      </c>
      <c r="G56" s="136" t="s">
        <v>57</v>
      </c>
      <c r="H56" s="136" t="s">
        <v>56</v>
      </c>
      <c r="I56" s="136" t="s">
        <v>54</v>
      </c>
      <c r="J56" s="136" t="s">
        <v>42</v>
      </c>
      <c r="K56" s="136" t="s">
        <v>11</v>
      </c>
      <c r="L56" s="136" t="s">
        <v>17</v>
      </c>
      <c r="M56" s="136" t="s">
        <v>45</v>
      </c>
      <c r="N56" s="136" t="s">
        <v>21</v>
      </c>
      <c r="O56" s="136" t="s">
        <v>48</v>
      </c>
      <c r="P56" s="136" t="s">
        <v>38</v>
      </c>
      <c r="Q56" s="136" t="s">
        <v>10</v>
      </c>
      <c r="R56" s="136" t="s">
        <v>41</v>
      </c>
      <c r="S56" s="136" t="s">
        <v>11</v>
      </c>
      <c r="T56" s="137" t="s">
        <v>42</v>
      </c>
      <c r="U56" s="136" t="s">
        <v>11</v>
      </c>
      <c r="V56" s="136" t="s">
        <v>43</v>
      </c>
      <c r="W56" s="136" t="s">
        <v>57</v>
      </c>
      <c r="X56" s="136" t="s">
        <v>51</v>
      </c>
      <c r="Y56" s="136" t="s">
        <v>42</v>
      </c>
      <c r="Z56" s="300">
        <f>SUM(B57:Y57)</f>
        <v>2</v>
      </c>
      <c r="AA56" s="301"/>
    </row>
    <row r="57" spans="1:27" ht="19.5" thickBot="1" x14ac:dyDescent="0.35">
      <c r="A57" s="91"/>
      <c r="B57" s="138">
        <v>1</v>
      </c>
      <c r="C57" s="139">
        <v>0</v>
      </c>
      <c r="D57" s="139">
        <v>1</v>
      </c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40"/>
      <c r="Z57" s="302"/>
      <c r="AA57" s="303"/>
    </row>
    <row r="58" spans="1:27" x14ac:dyDescent="0.3">
      <c r="A58" s="314" t="s">
        <v>26</v>
      </c>
      <c r="B58" s="135" t="s">
        <v>39</v>
      </c>
      <c r="C58" s="136" t="s">
        <v>10</v>
      </c>
      <c r="D58" s="136" t="s">
        <v>44</v>
      </c>
      <c r="E58" s="136" t="s">
        <v>15</v>
      </c>
      <c r="F58" s="136" t="s">
        <v>38</v>
      </c>
      <c r="G58" s="136" t="s">
        <v>40</v>
      </c>
      <c r="H58" s="136" t="s">
        <v>56</v>
      </c>
      <c r="I58" s="136" t="s">
        <v>54</v>
      </c>
      <c r="J58" s="136" t="s">
        <v>55</v>
      </c>
      <c r="K58" s="136" t="s">
        <v>11</v>
      </c>
      <c r="L58" s="136" t="s">
        <v>18</v>
      </c>
      <c r="M58" s="136" t="s">
        <v>27</v>
      </c>
      <c r="N58" s="136" t="s">
        <v>21</v>
      </c>
      <c r="O58" s="136" t="s">
        <v>51</v>
      </c>
      <c r="P58" s="136" t="s">
        <v>38</v>
      </c>
      <c r="Q58" s="136" t="s">
        <v>10</v>
      </c>
      <c r="R58" s="136" t="s">
        <v>54</v>
      </c>
      <c r="S58" s="136" t="s">
        <v>50</v>
      </c>
      <c r="T58" s="137" t="s">
        <v>15</v>
      </c>
      <c r="U58" s="136" t="s">
        <v>11</v>
      </c>
      <c r="V58" s="136" t="s">
        <v>43</v>
      </c>
      <c r="W58" s="136" t="s">
        <v>12</v>
      </c>
      <c r="X58" s="136" t="s">
        <v>51</v>
      </c>
      <c r="Y58" s="136" t="s">
        <v>42</v>
      </c>
      <c r="Z58" s="300">
        <f>SUM(B59:Y59)</f>
        <v>2</v>
      </c>
      <c r="AA58" s="301"/>
    </row>
    <row r="59" spans="1:27" ht="19.5" thickBot="1" x14ac:dyDescent="0.35">
      <c r="A59" s="315"/>
      <c r="B59" s="138">
        <v>1</v>
      </c>
      <c r="C59" s="139">
        <v>0</v>
      </c>
      <c r="D59" s="139">
        <v>1</v>
      </c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40"/>
      <c r="Z59" s="302"/>
      <c r="AA59" s="303"/>
    </row>
    <row r="60" spans="1:27" x14ac:dyDescent="0.3">
      <c r="A60" s="313" t="s">
        <v>630</v>
      </c>
      <c r="B60" s="135" t="s">
        <v>39</v>
      </c>
      <c r="C60" s="136" t="s">
        <v>10</v>
      </c>
      <c r="D60" s="136" t="s">
        <v>53</v>
      </c>
      <c r="E60" s="136" t="s">
        <v>15</v>
      </c>
      <c r="F60" s="136" t="s">
        <v>38</v>
      </c>
      <c r="G60" s="136" t="s">
        <v>40</v>
      </c>
      <c r="H60" s="136" t="s">
        <v>56</v>
      </c>
      <c r="I60" s="136" t="s">
        <v>54</v>
      </c>
      <c r="J60" s="136" t="s">
        <v>55</v>
      </c>
      <c r="K60" s="136" t="s">
        <v>20</v>
      </c>
      <c r="L60" s="136" t="s">
        <v>18</v>
      </c>
      <c r="M60" s="136" t="s">
        <v>27</v>
      </c>
      <c r="N60" s="136" t="s">
        <v>21</v>
      </c>
      <c r="O60" s="136" t="s">
        <v>51</v>
      </c>
      <c r="P60" s="136" t="s">
        <v>38</v>
      </c>
      <c r="Q60" s="136" t="s">
        <v>10</v>
      </c>
      <c r="R60" s="136" t="s">
        <v>41</v>
      </c>
      <c r="S60" s="136" t="s">
        <v>50</v>
      </c>
      <c r="T60" s="137" t="s">
        <v>42</v>
      </c>
      <c r="U60" s="136" t="s">
        <v>11</v>
      </c>
      <c r="V60" s="136" t="s">
        <v>49</v>
      </c>
      <c r="W60" s="136" t="s">
        <v>57</v>
      </c>
      <c r="X60" s="136" t="s">
        <v>46</v>
      </c>
      <c r="Y60" s="136" t="s">
        <v>42</v>
      </c>
      <c r="Z60" s="300">
        <f>SUM(B61:Y61)</f>
        <v>1</v>
      </c>
      <c r="AA60" s="301"/>
    </row>
    <row r="61" spans="1:27" ht="19.5" thickBot="1" x14ac:dyDescent="0.35">
      <c r="A61" s="299"/>
      <c r="B61" s="138">
        <v>1</v>
      </c>
      <c r="C61" s="139">
        <v>0</v>
      </c>
      <c r="D61" s="139">
        <v>0</v>
      </c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40"/>
      <c r="Z61" s="302"/>
      <c r="AA61" s="303"/>
    </row>
    <row r="62" spans="1:27" x14ac:dyDescent="0.3">
      <c r="A62" s="313" t="s">
        <v>633</v>
      </c>
      <c r="B62" s="135" t="s">
        <v>39</v>
      </c>
      <c r="C62" s="136" t="s">
        <v>10</v>
      </c>
      <c r="D62" s="136" t="s">
        <v>53</v>
      </c>
      <c r="E62" s="136" t="s">
        <v>15</v>
      </c>
      <c r="F62" s="136" t="s">
        <v>41</v>
      </c>
      <c r="G62" s="136" t="s">
        <v>57</v>
      </c>
      <c r="H62" s="136" t="s">
        <v>56</v>
      </c>
      <c r="I62" s="136" t="s">
        <v>54</v>
      </c>
      <c r="J62" s="136" t="s">
        <v>42</v>
      </c>
      <c r="K62" s="136" t="s">
        <v>11</v>
      </c>
      <c r="L62" s="136" t="s">
        <v>18</v>
      </c>
      <c r="M62" s="136" t="s">
        <v>27</v>
      </c>
      <c r="N62" s="136" t="s">
        <v>19</v>
      </c>
      <c r="O62" s="136" t="s">
        <v>48</v>
      </c>
      <c r="P62" s="136" t="s">
        <v>38</v>
      </c>
      <c r="Q62" s="136" t="s">
        <v>10</v>
      </c>
      <c r="R62" s="136" t="s">
        <v>41</v>
      </c>
      <c r="S62" s="136" t="s">
        <v>50</v>
      </c>
      <c r="T62" s="137" t="s">
        <v>42</v>
      </c>
      <c r="U62" s="136" t="s">
        <v>11</v>
      </c>
      <c r="V62" s="136" t="s">
        <v>43</v>
      </c>
      <c r="W62" s="136" t="s">
        <v>57</v>
      </c>
      <c r="X62" s="136" t="s">
        <v>51</v>
      </c>
      <c r="Y62" s="136" t="s">
        <v>42</v>
      </c>
      <c r="Z62" s="300">
        <f>SUM(B63:Y63)</f>
        <v>1</v>
      </c>
      <c r="AA62" s="301"/>
    </row>
    <row r="63" spans="1:27" ht="19.5" thickBot="1" x14ac:dyDescent="0.35">
      <c r="A63" s="299"/>
      <c r="B63" s="138">
        <v>1</v>
      </c>
      <c r="C63" s="139">
        <v>0</v>
      </c>
      <c r="D63" s="139">
        <v>0</v>
      </c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40"/>
      <c r="Z63" s="302"/>
      <c r="AA63" s="303"/>
    </row>
    <row r="64" spans="1:27" x14ac:dyDescent="0.3">
      <c r="A64" s="314" t="s">
        <v>634</v>
      </c>
      <c r="B64" s="135" t="s">
        <v>39</v>
      </c>
      <c r="C64" s="136" t="s">
        <v>10</v>
      </c>
      <c r="D64" s="136" t="s">
        <v>44</v>
      </c>
      <c r="E64" s="136" t="s">
        <v>15</v>
      </c>
      <c r="F64" s="136" t="s">
        <v>41</v>
      </c>
      <c r="G64" s="136" t="s">
        <v>57</v>
      </c>
      <c r="H64" s="136" t="s">
        <v>16</v>
      </c>
      <c r="I64" s="136" t="s">
        <v>54</v>
      </c>
      <c r="J64" s="136" t="s">
        <v>42</v>
      </c>
      <c r="K64" s="136" t="s">
        <v>11</v>
      </c>
      <c r="L64" s="136" t="s">
        <v>18</v>
      </c>
      <c r="M64" s="136" t="s">
        <v>45</v>
      </c>
      <c r="N64" s="136" t="s">
        <v>19</v>
      </c>
      <c r="O64" s="136" t="s">
        <v>48</v>
      </c>
      <c r="P64" s="136" t="s">
        <v>9</v>
      </c>
      <c r="Q64" s="136" t="s">
        <v>10</v>
      </c>
      <c r="R64" s="136" t="s">
        <v>41</v>
      </c>
      <c r="S64" s="136" t="s">
        <v>11</v>
      </c>
      <c r="T64" s="137" t="s">
        <v>15</v>
      </c>
      <c r="U64" s="136" t="s">
        <v>11</v>
      </c>
      <c r="V64" s="136" t="s">
        <v>43</v>
      </c>
      <c r="W64" s="136" t="s">
        <v>12</v>
      </c>
      <c r="X64" s="136" t="s">
        <v>51</v>
      </c>
      <c r="Y64" s="136" t="s">
        <v>18</v>
      </c>
      <c r="Z64" s="300">
        <f>SUM(B65:Y65)</f>
        <v>2</v>
      </c>
      <c r="AA64" s="301"/>
    </row>
    <row r="65" spans="1:41" ht="19.5" thickBot="1" x14ac:dyDescent="0.35">
      <c r="A65" s="315"/>
      <c r="B65" s="138">
        <v>1</v>
      </c>
      <c r="C65" s="139">
        <v>0</v>
      </c>
      <c r="D65" s="139">
        <v>1</v>
      </c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0"/>
      <c r="Z65" s="302"/>
      <c r="AA65" s="303"/>
    </row>
    <row r="66" spans="1:41" x14ac:dyDescent="0.3">
      <c r="A66" s="314" t="s">
        <v>636</v>
      </c>
      <c r="B66" s="135" t="s">
        <v>39</v>
      </c>
      <c r="C66" s="136" t="s">
        <v>10</v>
      </c>
      <c r="D66" s="136" t="s">
        <v>53</v>
      </c>
      <c r="E66" s="136" t="s">
        <v>15</v>
      </c>
      <c r="F66" s="136" t="s">
        <v>41</v>
      </c>
      <c r="G66" s="136" t="s">
        <v>57</v>
      </c>
      <c r="H66" s="136" t="s">
        <v>56</v>
      </c>
      <c r="I66" s="136" t="s">
        <v>54</v>
      </c>
      <c r="J66" s="136" t="s">
        <v>55</v>
      </c>
      <c r="K66" s="136" t="s">
        <v>11</v>
      </c>
      <c r="L66" s="136" t="s">
        <v>18</v>
      </c>
      <c r="M66" s="136" t="s">
        <v>27</v>
      </c>
      <c r="N66" s="136" t="s">
        <v>21</v>
      </c>
      <c r="O66" s="136" t="s">
        <v>48</v>
      </c>
      <c r="P66" s="136" t="s">
        <v>38</v>
      </c>
      <c r="Q66" s="136" t="s">
        <v>10</v>
      </c>
      <c r="R66" s="136" t="s">
        <v>41</v>
      </c>
      <c r="S66" s="136" t="s">
        <v>11</v>
      </c>
      <c r="T66" s="137" t="s">
        <v>42</v>
      </c>
      <c r="U66" s="136" t="s">
        <v>11</v>
      </c>
      <c r="V66" s="136" t="s">
        <v>43</v>
      </c>
      <c r="W66" s="136" t="s">
        <v>57</v>
      </c>
      <c r="X66" s="136" t="s">
        <v>51</v>
      </c>
      <c r="Y66" s="136" t="s">
        <v>42</v>
      </c>
      <c r="Z66" s="300">
        <f>SUM(B67:Y67)</f>
        <v>1</v>
      </c>
      <c r="AA66" s="301"/>
    </row>
    <row r="67" spans="1:41" ht="19.5" thickBot="1" x14ac:dyDescent="0.35">
      <c r="A67" s="315"/>
      <c r="B67" s="138">
        <v>1</v>
      </c>
      <c r="C67" s="139">
        <v>0</v>
      </c>
      <c r="D67" s="139">
        <v>0</v>
      </c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0"/>
      <c r="Z67" s="302"/>
      <c r="AA67" s="303"/>
    </row>
    <row r="68" spans="1:41" ht="20.25" thickBot="1" x14ac:dyDescent="0.4">
      <c r="A68" s="95" t="s">
        <v>22</v>
      </c>
      <c r="B68" s="142" t="s">
        <v>39</v>
      </c>
      <c r="C68" s="142" t="s">
        <v>12</v>
      </c>
      <c r="D68" s="142" t="s">
        <v>44</v>
      </c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3"/>
      <c r="R68" s="142"/>
      <c r="S68" s="143"/>
      <c r="T68" s="142"/>
      <c r="U68" s="143"/>
      <c r="V68" s="142"/>
      <c r="W68" s="143"/>
      <c r="X68" s="142"/>
      <c r="Y68" s="143"/>
      <c r="Z68" s="96"/>
      <c r="AA68" s="97"/>
    </row>
    <row r="69" spans="1:41" ht="19.5" x14ac:dyDescent="0.35">
      <c r="A69" s="98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114"/>
      <c r="AO69" s="114"/>
    </row>
  </sheetData>
  <mergeCells count="59">
    <mergeCell ref="A58:A59"/>
    <mergeCell ref="Z58:AA59"/>
    <mergeCell ref="A42:A43"/>
    <mergeCell ref="Z42:AA43"/>
    <mergeCell ref="A44:A45"/>
    <mergeCell ref="Z54:AA55"/>
    <mergeCell ref="Z56:AA57"/>
    <mergeCell ref="Z48:AA49"/>
    <mergeCell ref="Z50:AA51"/>
    <mergeCell ref="A66:A67"/>
    <mergeCell ref="Z66:AA67"/>
    <mergeCell ref="A60:A61"/>
    <mergeCell ref="Z60:AA61"/>
    <mergeCell ref="A62:A63"/>
    <mergeCell ref="Z62:AA63"/>
    <mergeCell ref="A64:A65"/>
    <mergeCell ref="Z64:AA65"/>
    <mergeCell ref="A40:A41"/>
    <mergeCell ref="Z40:AA41"/>
    <mergeCell ref="Z44:AA45"/>
    <mergeCell ref="A46:A47"/>
    <mergeCell ref="Z46:AA47"/>
    <mergeCell ref="A20:A21"/>
    <mergeCell ref="Z20:AA21"/>
    <mergeCell ref="A22:A23"/>
    <mergeCell ref="Z22:AA23"/>
    <mergeCell ref="Z52:AA53"/>
    <mergeCell ref="I37:J37"/>
    <mergeCell ref="N37:O37"/>
    <mergeCell ref="Z37:AA39"/>
    <mergeCell ref="A37:A38"/>
    <mergeCell ref="D37:E37"/>
    <mergeCell ref="Z26:AA27"/>
    <mergeCell ref="Z28:AA29"/>
    <mergeCell ref="Z30:AA31"/>
    <mergeCell ref="Z32:AA33"/>
    <mergeCell ref="Z34:AA35"/>
    <mergeCell ref="Z24:AA25"/>
    <mergeCell ref="A18:A19"/>
    <mergeCell ref="Z18:AA19"/>
    <mergeCell ref="A6:A7"/>
    <mergeCell ref="Z6:AA7"/>
    <mergeCell ref="A8:A9"/>
    <mergeCell ref="Z8:AA9"/>
    <mergeCell ref="A10:A11"/>
    <mergeCell ref="Z10:AA11"/>
    <mergeCell ref="A12:A13"/>
    <mergeCell ref="Z12:AA13"/>
    <mergeCell ref="A14:A15"/>
    <mergeCell ref="Z14:AA15"/>
    <mergeCell ref="A16:A17"/>
    <mergeCell ref="Z16:AA17"/>
    <mergeCell ref="A4:A5"/>
    <mergeCell ref="Z4:AA5"/>
    <mergeCell ref="A1:A2"/>
    <mergeCell ref="D1:E1"/>
    <mergeCell ref="I1:J1"/>
    <mergeCell ref="N1:O1"/>
    <mergeCell ref="Z1:AA3"/>
  </mergeCells>
  <pageMargins left="0.2" right="0.2" top="0" bottom="0" header="0" footer="0"/>
  <pageSetup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BD9B-EA29-47B3-8B28-F0190B6DF330}">
  <dimension ref="A1:AH67"/>
  <sheetViews>
    <sheetView workbookViewId="0">
      <selection activeCell="A38" sqref="A38:XFD38"/>
    </sheetView>
  </sheetViews>
  <sheetFormatPr defaultColWidth="5.85546875" defaultRowHeight="18.75" x14ac:dyDescent="0.3"/>
  <cols>
    <col min="1" max="1" width="13.85546875" style="89" customWidth="1"/>
    <col min="2" max="5" width="4.5703125" style="116" customWidth="1"/>
    <col min="6" max="6" width="4" style="116" customWidth="1"/>
    <col min="7" max="10" width="4.5703125" style="116" customWidth="1"/>
    <col min="11" max="11" width="3.5703125" style="116" customWidth="1"/>
    <col min="12" max="19" width="4.5703125" style="116" customWidth="1"/>
    <col min="20" max="23" width="3.140625" style="116" customWidth="1"/>
    <col min="24" max="26" width="3.85546875" style="116" customWidth="1"/>
    <col min="27" max="27" width="5.85546875" style="89"/>
    <col min="28" max="28" width="4.85546875" style="89" customWidth="1"/>
    <col min="29" max="29" width="5.42578125" style="89" customWidth="1"/>
    <col min="30" max="31" width="4.85546875" style="89" customWidth="1"/>
    <col min="32" max="34" width="4" style="89" customWidth="1"/>
    <col min="35" max="16384" width="5.85546875" style="89"/>
  </cols>
  <sheetData>
    <row r="1" spans="1:34" ht="15.75" customHeight="1" thickTop="1" thickBot="1" x14ac:dyDescent="0.35">
      <c r="A1" s="335" t="s">
        <v>25</v>
      </c>
      <c r="B1" s="338" t="s">
        <v>28</v>
      </c>
      <c r="C1" s="339"/>
      <c r="D1" s="339"/>
      <c r="E1" s="339"/>
      <c r="F1" s="339"/>
      <c r="G1" s="339"/>
      <c r="H1" s="339"/>
      <c r="I1" s="339"/>
      <c r="J1" s="340"/>
      <c r="K1" s="146"/>
      <c r="L1" s="338" t="s">
        <v>29</v>
      </c>
      <c r="M1" s="339"/>
      <c r="N1" s="339"/>
      <c r="O1" s="339"/>
      <c r="P1" s="339"/>
      <c r="Q1" s="339"/>
      <c r="R1" s="340"/>
      <c r="S1" s="145"/>
      <c r="T1" s="147" t="s">
        <v>643</v>
      </c>
      <c r="U1" s="148"/>
      <c r="V1" s="148"/>
      <c r="W1" s="149"/>
      <c r="X1" s="341" t="s">
        <v>642</v>
      </c>
      <c r="Y1" s="342"/>
      <c r="Z1" s="343"/>
      <c r="AA1" s="100"/>
      <c r="AB1" s="350" t="s">
        <v>35</v>
      </c>
      <c r="AC1" s="351"/>
      <c r="AD1" s="350" t="s">
        <v>641</v>
      </c>
      <c r="AE1" s="356"/>
      <c r="AF1" s="307" t="s">
        <v>31</v>
      </c>
      <c r="AG1" s="316"/>
      <c r="AH1" s="308"/>
    </row>
    <row r="2" spans="1:34" ht="15" customHeight="1" x14ac:dyDescent="0.3">
      <c r="A2" s="336"/>
      <c r="B2" s="321" t="s">
        <v>3</v>
      </c>
      <c r="C2" s="322"/>
      <c r="D2" s="322"/>
      <c r="E2" s="322"/>
      <c r="F2" s="150"/>
      <c r="G2" s="323" t="s">
        <v>4</v>
      </c>
      <c r="H2" s="322"/>
      <c r="I2" s="322"/>
      <c r="J2" s="324"/>
      <c r="K2" s="151"/>
      <c r="L2" s="325" t="s">
        <v>3</v>
      </c>
      <c r="M2" s="326"/>
      <c r="N2" s="326"/>
      <c r="O2" s="150"/>
      <c r="P2" s="329" t="s">
        <v>4</v>
      </c>
      <c r="Q2" s="326"/>
      <c r="R2" s="330"/>
      <c r="S2" s="146"/>
      <c r="T2" s="325" t="s">
        <v>3</v>
      </c>
      <c r="U2" s="333"/>
      <c r="V2" s="329" t="s">
        <v>4</v>
      </c>
      <c r="W2" s="330"/>
      <c r="X2" s="344"/>
      <c r="Y2" s="345"/>
      <c r="Z2" s="346"/>
      <c r="AA2" s="100"/>
      <c r="AB2" s="352"/>
      <c r="AC2" s="353"/>
      <c r="AD2" s="352"/>
      <c r="AE2" s="310"/>
      <c r="AF2" s="309"/>
      <c r="AG2" s="317"/>
      <c r="AH2" s="310"/>
    </row>
    <row r="3" spans="1:34" ht="15.75" customHeight="1" thickBot="1" x14ac:dyDescent="0.35">
      <c r="A3" s="337"/>
      <c r="B3" s="152" t="s">
        <v>6</v>
      </c>
      <c r="C3" s="153" t="s">
        <v>5</v>
      </c>
      <c r="D3" s="154" t="s">
        <v>7</v>
      </c>
      <c r="E3" s="154" t="s">
        <v>8</v>
      </c>
      <c r="F3" s="155"/>
      <c r="G3" s="154" t="s">
        <v>6</v>
      </c>
      <c r="H3" s="154" t="s">
        <v>5</v>
      </c>
      <c r="I3" s="154" t="s">
        <v>7</v>
      </c>
      <c r="J3" s="154" t="s">
        <v>8</v>
      </c>
      <c r="K3" s="151"/>
      <c r="L3" s="327"/>
      <c r="M3" s="328"/>
      <c r="N3" s="328"/>
      <c r="O3" s="156"/>
      <c r="P3" s="331"/>
      <c r="Q3" s="328"/>
      <c r="R3" s="332"/>
      <c r="S3" s="151"/>
      <c r="T3" s="327"/>
      <c r="U3" s="334"/>
      <c r="V3" s="331"/>
      <c r="W3" s="332"/>
      <c r="X3" s="347"/>
      <c r="Y3" s="348"/>
      <c r="Z3" s="349"/>
      <c r="AA3" s="102"/>
      <c r="AB3" s="354"/>
      <c r="AC3" s="355"/>
      <c r="AD3" s="354"/>
      <c r="AE3" s="312"/>
      <c r="AF3" s="318"/>
      <c r="AG3" s="319"/>
      <c r="AH3" s="320"/>
    </row>
    <row r="4" spans="1:34" ht="15" customHeight="1" x14ac:dyDescent="0.3">
      <c r="A4" s="363" t="s">
        <v>24</v>
      </c>
      <c r="B4" s="157" t="s">
        <v>27</v>
      </c>
      <c r="C4" s="158" t="s">
        <v>54</v>
      </c>
      <c r="D4" s="158" t="s">
        <v>56</v>
      </c>
      <c r="E4" s="158" t="s">
        <v>10</v>
      </c>
      <c r="F4" s="159"/>
      <c r="G4" s="158" t="s">
        <v>39</v>
      </c>
      <c r="H4" s="158" t="s">
        <v>44</v>
      </c>
      <c r="I4" s="158" t="s">
        <v>11</v>
      </c>
      <c r="J4" s="160" t="s">
        <v>15</v>
      </c>
      <c r="K4" s="161"/>
      <c r="L4" s="157" t="s">
        <v>45</v>
      </c>
      <c r="M4" s="158" t="s">
        <v>55</v>
      </c>
      <c r="N4" s="158" t="s">
        <v>57</v>
      </c>
      <c r="O4" s="159"/>
      <c r="P4" s="158" t="s">
        <v>38</v>
      </c>
      <c r="Q4" s="158" t="s">
        <v>50</v>
      </c>
      <c r="R4" s="160" t="s">
        <v>42</v>
      </c>
      <c r="S4" s="151"/>
      <c r="T4" s="364" t="s">
        <v>27</v>
      </c>
      <c r="U4" s="365"/>
      <c r="V4" s="366" t="s">
        <v>39</v>
      </c>
      <c r="W4" s="367"/>
      <c r="X4" s="364" t="s">
        <v>27</v>
      </c>
      <c r="Y4" s="368"/>
      <c r="Z4" s="367"/>
      <c r="AA4" s="103"/>
      <c r="AB4" s="369"/>
      <c r="AC4" s="370"/>
      <c r="AD4" s="369"/>
      <c r="AE4" s="301"/>
      <c r="AF4" s="375"/>
      <c r="AG4" s="376"/>
      <c r="AH4" s="374"/>
    </row>
    <row r="5" spans="1:34" ht="15" customHeight="1" thickBot="1" x14ac:dyDescent="0.35">
      <c r="A5" s="358"/>
      <c r="B5" s="162"/>
      <c r="C5" s="163"/>
      <c r="D5" s="163"/>
      <c r="E5" s="163"/>
      <c r="F5" s="159"/>
      <c r="G5" s="163"/>
      <c r="H5" s="163"/>
      <c r="I5" s="163"/>
      <c r="J5" s="164"/>
      <c r="K5" s="161"/>
      <c r="L5" s="162"/>
      <c r="M5" s="163"/>
      <c r="N5" s="163"/>
      <c r="O5" s="159"/>
      <c r="P5" s="163"/>
      <c r="Q5" s="163"/>
      <c r="R5" s="164"/>
      <c r="S5" s="161"/>
      <c r="T5" s="378"/>
      <c r="U5" s="379"/>
      <c r="V5" s="384"/>
      <c r="W5" s="383"/>
      <c r="X5" s="378"/>
      <c r="Y5" s="382"/>
      <c r="Z5" s="383"/>
      <c r="AA5" s="103"/>
      <c r="AB5" s="371"/>
      <c r="AC5" s="372"/>
      <c r="AD5" s="371"/>
      <c r="AE5" s="303"/>
      <c r="AF5" s="302"/>
      <c r="AG5" s="377"/>
      <c r="AH5" s="303"/>
    </row>
    <row r="6" spans="1:34" ht="15" customHeight="1" x14ac:dyDescent="0.3">
      <c r="A6" s="357" t="s">
        <v>294</v>
      </c>
      <c r="B6" s="162" t="s">
        <v>27</v>
      </c>
      <c r="C6" s="163" t="s">
        <v>54</v>
      </c>
      <c r="D6" s="163" t="s">
        <v>55</v>
      </c>
      <c r="E6" s="163" t="s">
        <v>10</v>
      </c>
      <c r="F6" s="159"/>
      <c r="G6" s="163" t="s">
        <v>39</v>
      </c>
      <c r="H6" s="163" t="s">
        <v>53</v>
      </c>
      <c r="I6" s="163" t="s">
        <v>11</v>
      </c>
      <c r="J6" s="164" t="s">
        <v>15</v>
      </c>
      <c r="K6" s="161"/>
      <c r="L6" s="162" t="s">
        <v>19</v>
      </c>
      <c r="M6" s="163" t="s">
        <v>46</v>
      </c>
      <c r="N6" s="163" t="s">
        <v>57</v>
      </c>
      <c r="O6" s="159"/>
      <c r="P6" s="163" t="s">
        <v>17</v>
      </c>
      <c r="Q6" s="163" t="s">
        <v>44</v>
      </c>
      <c r="R6" s="164" t="s">
        <v>48</v>
      </c>
      <c r="S6" s="161"/>
      <c r="T6" s="359" t="s">
        <v>46</v>
      </c>
      <c r="U6" s="360"/>
      <c r="V6" s="361" t="s">
        <v>53</v>
      </c>
      <c r="W6" s="361"/>
      <c r="X6" s="359" t="s">
        <v>46</v>
      </c>
      <c r="Y6" s="361"/>
      <c r="Z6" s="362"/>
      <c r="AA6" s="110"/>
      <c r="AB6" s="369"/>
      <c r="AC6" s="370"/>
      <c r="AD6" s="369"/>
      <c r="AE6" s="301"/>
      <c r="AF6" s="375"/>
      <c r="AG6" s="376"/>
      <c r="AH6" s="374"/>
    </row>
    <row r="7" spans="1:34" ht="15" customHeight="1" thickBot="1" x14ac:dyDescent="0.35">
      <c r="A7" s="358"/>
      <c r="B7" s="162"/>
      <c r="C7" s="163"/>
      <c r="D7" s="163"/>
      <c r="E7" s="163"/>
      <c r="F7" s="159"/>
      <c r="G7" s="163"/>
      <c r="H7" s="163"/>
      <c r="I7" s="163"/>
      <c r="J7" s="164"/>
      <c r="K7" s="161"/>
      <c r="L7" s="162"/>
      <c r="M7" s="163"/>
      <c r="N7" s="163"/>
      <c r="O7" s="159"/>
      <c r="P7" s="163"/>
      <c r="Q7" s="163"/>
      <c r="R7" s="164"/>
      <c r="S7" s="161"/>
      <c r="T7" s="378"/>
      <c r="U7" s="379"/>
      <c r="V7" s="380"/>
      <c r="W7" s="381"/>
      <c r="X7" s="378"/>
      <c r="Y7" s="382"/>
      <c r="Z7" s="383"/>
      <c r="AA7" s="110"/>
      <c r="AB7" s="371"/>
      <c r="AC7" s="372"/>
      <c r="AD7" s="373"/>
      <c r="AE7" s="374"/>
      <c r="AF7" s="302"/>
      <c r="AG7" s="377"/>
      <c r="AH7" s="303"/>
    </row>
    <row r="8" spans="1:34" ht="15" customHeight="1" x14ac:dyDescent="0.3">
      <c r="A8" s="336" t="s">
        <v>563</v>
      </c>
      <c r="B8" s="162" t="s">
        <v>27</v>
      </c>
      <c r="C8" s="163" t="s">
        <v>41</v>
      </c>
      <c r="D8" s="163" t="s">
        <v>46</v>
      </c>
      <c r="E8" s="163" t="s">
        <v>10</v>
      </c>
      <c r="F8" s="159"/>
      <c r="G8" s="163" t="s">
        <v>17</v>
      </c>
      <c r="H8" s="163" t="s">
        <v>53</v>
      </c>
      <c r="I8" s="163" t="s">
        <v>11</v>
      </c>
      <c r="J8" s="164" t="s">
        <v>48</v>
      </c>
      <c r="K8" s="161"/>
      <c r="L8" s="162" t="s">
        <v>19</v>
      </c>
      <c r="M8" s="163" t="s">
        <v>54</v>
      </c>
      <c r="N8" s="163" t="s">
        <v>57</v>
      </c>
      <c r="O8" s="159"/>
      <c r="P8" s="163" t="s">
        <v>39</v>
      </c>
      <c r="Q8" s="163" t="s">
        <v>44</v>
      </c>
      <c r="R8" s="164" t="s">
        <v>15</v>
      </c>
      <c r="S8" s="161"/>
      <c r="T8" s="359" t="s">
        <v>10</v>
      </c>
      <c r="U8" s="360"/>
      <c r="V8" s="361" t="s">
        <v>15</v>
      </c>
      <c r="W8" s="361"/>
      <c r="X8" s="359" t="s">
        <v>15</v>
      </c>
      <c r="Y8" s="361"/>
      <c r="Z8" s="362"/>
      <c r="AA8" s="110"/>
      <c r="AB8" s="369"/>
      <c r="AC8" s="370"/>
      <c r="AD8" s="369"/>
      <c r="AE8" s="301"/>
      <c r="AF8" s="385"/>
      <c r="AG8" s="386"/>
      <c r="AH8" s="387"/>
    </row>
    <row r="9" spans="1:34" ht="15" customHeight="1" thickBot="1" x14ac:dyDescent="0.35">
      <c r="A9" s="388"/>
      <c r="B9" s="162"/>
      <c r="C9" s="163"/>
      <c r="D9" s="163"/>
      <c r="E9" s="163"/>
      <c r="F9" s="159"/>
      <c r="G9" s="163"/>
      <c r="H9" s="163"/>
      <c r="I9" s="163"/>
      <c r="J9" s="164"/>
      <c r="K9" s="161"/>
      <c r="L9" s="162"/>
      <c r="M9" s="163"/>
      <c r="N9" s="163"/>
      <c r="O9" s="159"/>
      <c r="P9" s="163"/>
      <c r="Q9" s="163"/>
      <c r="R9" s="164"/>
      <c r="S9" s="161"/>
      <c r="T9" s="378"/>
      <c r="U9" s="379"/>
      <c r="V9" s="380"/>
      <c r="W9" s="381"/>
      <c r="X9" s="378"/>
      <c r="Y9" s="382"/>
      <c r="Z9" s="383"/>
      <c r="AA9" s="110"/>
      <c r="AB9" s="371"/>
      <c r="AC9" s="372"/>
      <c r="AD9" s="389"/>
      <c r="AE9" s="390"/>
      <c r="AF9" s="302"/>
      <c r="AG9" s="377"/>
      <c r="AH9" s="303"/>
    </row>
    <row r="10" spans="1:34" ht="15" customHeight="1" x14ac:dyDescent="0.3">
      <c r="A10" s="357" t="s">
        <v>310</v>
      </c>
      <c r="B10" s="162" t="s">
        <v>27</v>
      </c>
      <c r="C10" s="163" t="s">
        <v>41</v>
      </c>
      <c r="D10" s="163" t="s">
        <v>55</v>
      </c>
      <c r="E10" s="163" t="s">
        <v>57</v>
      </c>
      <c r="F10" s="159"/>
      <c r="G10" s="163" t="s">
        <v>39</v>
      </c>
      <c r="H10" s="163" t="s">
        <v>38</v>
      </c>
      <c r="I10" s="163" t="s">
        <v>11</v>
      </c>
      <c r="J10" s="164" t="s">
        <v>15</v>
      </c>
      <c r="K10" s="161"/>
      <c r="L10" s="162" t="s">
        <v>10</v>
      </c>
      <c r="M10" s="163" t="s">
        <v>40</v>
      </c>
      <c r="N10" s="163" t="s">
        <v>12</v>
      </c>
      <c r="O10" s="159"/>
      <c r="P10" s="163" t="s">
        <v>42</v>
      </c>
      <c r="Q10" s="163" t="s">
        <v>9</v>
      </c>
      <c r="R10" s="164" t="s">
        <v>43</v>
      </c>
      <c r="S10" s="161"/>
      <c r="T10" s="359" t="s">
        <v>41</v>
      </c>
      <c r="U10" s="360"/>
      <c r="V10" s="391" t="s">
        <v>39</v>
      </c>
      <c r="W10" s="392"/>
      <c r="X10" s="361" t="s">
        <v>41</v>
      </c>
      <c r="Y10" s="361"/>
      <c r="Z10" s="361"/>
      <c r="AA10" s="110"/>
      <c r="AB10" s="369"/>
      <c r="AC10" s="370"/>
      <c r="AD10" s="369"/>
      <c r="AE10" s="301"/>
      <c r="AF10" s="375"/>
      <c r="AG10" s="376"/>
      <c r="AH10" s="374"/>
    </row>
    <row r="11" spans="1:34" ht="15" customHeight="1" thickBot="1" x14ac:dyDescent="0.35">
      <c r="A11" s="358"/>
      <c r="B11" s="162"/>
      <c r="C11" s="163"/>
      <c r="D11" s="163"/>
      <c r="E11" s="163"/>
      <c r="F11" s="159"/>
      <c r="G11" s="163"/>
      <c r="H11" s="163"/>
      <c r="I11" s="163"/>
      <c r="J11" s="164"/>
      <c r="K11" s="161"/>
      <c r="L11" s="162"/>
      <c r="M11" s="163"/>
      <c r="N11" s="163"/>
      <c r="O11" s="159"/>
      <c r="P11" s="163"/>
      <c r="Q11" s="163"/>
      <c r="R11" s="164"/>
      <c r="S11" s="161"/>
      <c r="T11" s="378"/>
      <c r="U11" s="379"/>
      <c r="V11" s="380"/>
      <c r="W11" s="381"/>
      <c r="X11" s="393"/>
      <c r="Y11" s="394"/>
      <c r="Z11" s="381"/>
      <c r="AA11" s="110"/>
      <c r="AB11" s="371"/>
      <c r="AC11" s="372"/>
      <c r="AD11" s="371"/>
      <c r="AE11" s="303"/>
      <c r="AF11" s="302"/>
      <c r="AG11" s="377"/>
      <c r="AH11" s="303"/>
    </row>
    <row r="12" spans="1:34" ht="15" customHeight="1" x14ac:dyDescent="0.3">
      <c r="A12" s="357" t="s">
        <v>564</v>
      </c>
      <c r="B12" s="162" t="s">
        <v>27</v>
      </c>
      <c r="C12" s="163" t="s">
        <v>41</v>
      </c>
      <c r="D12" s="163" t="s">
        <v>55</v>
      </c>
      <c r="E12" s="163" t="s">
        <v>10</v>
      </c>
      <c r="F12" s="159"/>
      <c r="G12" s="163" t="s">
        <v>43</v>
      </c>
      <c r="H12" s="163" t="s">
        <v>9</v>
      </c>
      <c r="I12" s="163" t="s">
        <v>11</v>
      </c>
      <c r="J12" s="164" t="s">
        <v>15</v>
      </c>
      <c r="K12" s="161"/>
      <c r="L12" s="162" t="s">
        <v>12</v>
      </c>
      <c r="M12" s="163" t="s">
        <v>57</v>
      </c>
      <c r="N12" s="163" t="s">
        <v>54</v>
      </c>
      <c r="O12" s="159"/>
      <c r="P12" s="163" t="s">
        <v>39</v>
      </c>
      <c r="Q12" s="163" t="s">
        <v>38</v>
      </c>
      <c r="R12" s="164" t="s">
        <v>48</v>
      </c>
      <c r="S12" s="161"/>
      <c r="T12" s="359" t="s">
        <v>12</v>
      </c>
      <c r="U12" s="360"/>
      <c r="V12" s="361" t="s">
        <v>9</v>
      </c>
      <c r="W12" s="361"/>
      <c r="X12" s="359" t="s">
        <v>12</v>
      </c>
      <c r="Y12" s="361"/>
      <c r="Z12" s="362"/>
      <c r="AA12" s="110"/>
      <c r="AB12" s="369"/>
      <c r="AC12" s="370"/>
      <c r="AD12" s="369"/>
      <c r="AE12" s="301"/>
      <c r="AF12" s="375"/>
      <c r="AG12" s="376"/>
      <c r="AH12" s="374"/>
    </row>
    <row r="13" spans="1:34" ht="15" customHeight="1" thickBot="1" x14ac:dyDescent="0.35">
      <c r="A13" s="358"/>
      <c r="B13" s="162"/>
      <c r="C13" s="163"/>
      <c r="D13" s="163"/>
      <c r="E13" s="163"/>
      <c r="F13" s="159"/>
      <c r="G13" s="163"/>
      <c r="H13" s="163"/>
      <c r="I13" s="163"/>
      <c r="J13" s="164"/>
      <c r="K13" s="161"/>
      <c r="L13" s="162"/>
      <c r="M13" s="163"/>
      <c r="N13" s="163"/>
      <c r="O13" s="159"/>
      <c r="P13" s="163"/>
      <c r="Q13" s="163"/>
      <c r="R13" s="164"/>
      <c r="S13" s="161"/>
      <c r="T13" s="378"/>
      <c r="U13" s="379"/>
      <c r="V13" s="380"/>
      <c r="W13" s="381"/>
      <c r="X13" s="378"/>
      <c r="Y13" s="382"/>
      <c r="Z13" s="383"/>
      <c r="AA13" s="110"/>
      <c r="AB13" s="371"/>
      <c r="AC13" s="372"/>
      <c r="AD13" s="371"/>
      <c r="AE13" s="303"/>
      <c r="AF13" s="302"/>
      <c r="AG13" s="377"/>
      <c r="AH13" s="303"/>
    </row>
    <row r="14" spans="1:34" ht="15" customHeight="1" x14ac:dyDescent="0.3">
      <c r="A14" s="357" t="s">
        <v>312</v>
      </c>
      <c r="B14" s="162" t="s">
        <v>27</v>
      </c>
      <c r="C14" s="163" t="s">
        <v>41</v>
      </c>
      <c r="D14" s="163" t="s">
        <v>55</v>
      </c>
      <c r="E14" s="163" t="s">
        <v>12</v>
      </c>
      <c r="F14" s="159"/>
      <c r="G14" s="163" t="s">
        <v>39</v>
      </c>
      <c r="H14" s="163" t="s">
        <v>38</v>
      </c>
      <c r="I14" s="163" t="s">
        <v>50</v>
      </c>
      <c r="J14" s="164" t="s">
        <v>42</v>
      </c>
      <c r="K14" s="161"/>
      <c r="L14" s="162" t="s">
        <v>54</v>
      </c>
      <c r="M14" s="163" t="s">
        <v>10</v>
      </c>
      <c r="N14" s="163" t="s">
        <v>57</v>
      </c>
      <c r="O14" s="159"/>
      <c r="P14" s="163" t="s">
        <v>44</v>
      </c>
      <c r="Q14" s="163" t="s">
        <v>15</v>
      </c>
      <c r="R14" s="164" t="s">
        <v>49</v>
      </c>
      <c r="S14" s="161"/>
      <c r="T14" s="359" t="s">
        <v>27</v>
      </c>
      <c r="U14" s="360"/>
      <c r="V14" s="361" t="s">
        <v>42</v>
      </c>
      <c r="W14" s="361"/>
      <c r="X14" s="359" t="s">
        <v>27</v>
      </c>
      <c r="Y14" s="361"/>
      <c r="Z14" s="362"/>
      <c r="AA14" s="110"/>
      <c r="AB14" s="369"/>
      <c r="AC14" s="370"/>
      <c r="AD14" s="369"/>
      <c r="AE14" s="301"/>
      <c r="AF14" s="375"/>
      <c r="AG14" s="376"/>
      <c r="AH14" s="374"/>
    </row>
    <row r="15" spans="1:34" ht="15" customHeight="1" thickBot="1" x14ac:dyDescent="0.35">
      <c r="A15" s="358"/>
      <c r="B15" s="162"/>
      <c r="C15" s="163"/>
      <c r="D15" s="163"/>
      <c r="E15" s="163"/>
      <c r="F15" s="159"/>
      <c r="G15" s="163"/>
      <c r="H15" s="163"/>
      <c r="I15" s="163"/>
      <c r="J15" s="164"/>
      <c r="K15" s="161"/>
      <c r="L15" s="162"/>
      <c r="M15" s="163"/>
      <c r="N15" s="163"/>
      <c r="O15" s="159"/>
      <c r="P15" s="163"/>
      <c r="Q15" s="163"/>
      <c r="R15" s="164"/>
      <c r="S15" s="161"/>
      <c r="T15" s="378"/>
      <c r="U15" s="379"/>
      <c r="V15" s="380"/>
      <c r="W15" s="381"/>
      <c r="X15" s="378"/>
      <c r="Y15" s="382"/>
      <c r="Z15" s="383"/>
      <c r="AA15" s="110"/>
      <c r="AB15" s="371"/>
      <c r="AC15" s="372"/>
      <c r="AD15" s="371"/>
      <c r="AE15" s="303"/>
      <c r="AF15" s="302"/>
      <c r="AG15" s="377"/>
      <c r="AH15" s="303"/>
    </row>
    <row r="16" spans="1:34" ht="15" customHeight="1" x14ac:dyDescent="0.3">
      <c r="A16" s="395" t="s">
        <v>311</v>
      </c>
      <c r="B16" s="162" t="s">
        <v>19</v>
      </c>
      <c r="C16" s="163" t="s">
        <v>54</v>
      </c>
      <c r="D16" s="163" t="s">
        <v>55</v>
      </c>
      <c r="E16" s="163" t="s">
        <v>10</v>
      </c>
      <c r="F16" s="159"/>
      <c r="G16" s="163" t="s">
        <v>49</v>
      </c>
      <c r="H16" s="163" t="s">
        <v>44</v>
      </c>
      <c r="I16" s="163" t="s">
        <v>11</v>
      </c>
      <c r="J16" s="164" t="s">
        <v>15</v>
      </c>
      <c r="K16" s="161"/>
      <c r="L16" s="162" t="s">
        <v>41</v>
      </c>
      <c r="M16" s="163" t="s">
        <v>27</v>
      </c>
      <c r="N16" s="163" t="s">
        <v>12</v>
      </c>
      <c r="O16" s="159"/>
      <c r="P16" s="163" t="s">
        <v>39</v>
      </c>
      <c r="Q16" s="163" t="s">
        <v>38</v>
      </c>
      <c r="R16" s="164" t="s">
        <v>18</v>
      </c>
      <c r="S16" s="161"/>
      <c r="T16" s="396" t="s">
        <v>27</v>
      </c>
      <c r="U16" s="397"/>
      <c r="V16" s="391" t="s">
        <v>39</v>
      </c>
      <c r="W16" s="392"/>
      <c r="X16" s="361" t="s">
        <v>27</v>
      </c>
      <c r="Y16" s="361"/>
      <c r="Z16" s="361"/>
      <c r="AA16" s="110"/>
      <c r="AB16" s="369"/>
      <c r="AC16" s="370"/>
      <c r="AD16" s="369"/>
      <c r="AE16" s="301"/>
      <c r="AF16" s="375"/>
      <c r="AG16" s="376"/>
      <c r="AH16" s="374"/>
    </row>
    <row r="17" spans="1:34" ht="15" customHeight="1" thickBot="1" x14ac:dyDescent="0.35">
      <c r="A17" s="358"/>
      <c r="B17" s="162"/>
      <c r="C17" s="163"/>
      <c r="D17" s="163"/>
      <c r="E17" s="163"/>
      <c r="F17" s="159"/>
      <c r="G17" s="163"/>
      <c r="H17" s="163"/>
      <c r="I17" s="163"/>
      <c r="J17" s="164"/>
      <c r="K17" s="161"/>
      <c r="L17" s="162"/>
      <c r="M17" s="163"/>
      <c r="N17" s="163"/>
      <c r="O17" s="159"/>
      <c r="P17" s="163"/>
      <c r="Q17" s="163"/>
      <c r="R17" s="164"/>
      <c r="S17" s="161"/>
      <c r="T17" s="378"/>
      <c r="U17" s="379"/>
      <c r="V17" s="380"/>
      <c r="W17" s="381"/>
      <c r="X17" s="393"/>
      <c r="Y17" s="394"/>
      <c r="Z17" s="381"/>
      <c r="AA17" s="110"/>
      <c r="AB17" s="371"/>
      <c r="AC17" s="372"/>
      <c r="AD17" s="371"/>
      <c r="AE17" s="303"/>
      <c r="AF17" s="302"/>
      <c r="AG17" s="377"/>
      <c r="AH17" s="303"/>
    </row>
    <row r="18" spans="1:34" ht="15" customHeight="1" x14ac:dyDescent="0.3">
      <c r="A18" s="357" t="s">
        <v>296</v>
      </c>
      <c r="B18" s="162" t="s">
        <v>27</v>
      </c>
      <c r="C18" s="163" t="s">
        <v>41</v>
      </c>
      <c r="D18" s="163" t="s">
        <v>46</v>
      </c>
      <c r="E18" s="163" t="s">
        <v>10</v>
      </c>
      <c r="F18" s="159"/>
      <c r="G18" s="163" t="s">
        <v>39</v>
      </c>
      <c r="H18" s="163" t="s">
        <v>38</v>
      </c>
      <c r="I18" s="163" t="s">
        <v>11</v>
      </c>
      <c r="J18" s="164" t="s">
        <v>15</v>
      </c>
      <c r="K18" s="161"/>
      <c r="L18" s="162" t="s">
        <v>12</v>
      </c>
      <c r="M18" s="163" t="s">
        <v>54</v>
      </c>
      <c r="N18" s="163" t="s">
        <v>40</v>
      </c>
      <c r="O18" s="159"/>
      <c r="P18" s="163" t="s">
        <v>44</v>
      </c>
      <c r="Q18" s="163" t="s">
        <v>9</v>
      </c>
      <c r="R18" s="164" t="s">
        <v>43</v>
      </c>
      <c r="S18" s="168"/>
      <c r="T18" s="359" t="s">
        <v>12</v>
      </c>
      <c r="U18" s="360"/>
      <c r="V18" s="399" t="s">
        <v>39</v>
      </c>
      <c r="W18" s="362"/>
      <c r="X18" s="359" t="s">
        <v>12</v>
      </c>
      <c r="Y18" s="361"/>
      <c r="Z18" s="362"/>
      <c r="AA18" s="110"/>
      <c r="AB18" s="369"/>
      <c r="AC18" s="370"/>
      <c r="AD18" s="369"/>
      <c r="AE18" s="301"/>
      <c r="AF18" s="375"/>
      <c r="AG18" s="376"/>
      <c r="AH18" s="374"/>
    </row>
    <row r="19" spans="1:34" ht="15" customHeight="1" thickBot="1" x14ac:dyDescent="0.35">
      <c r="A19" s="358"/>
      <c r="B19" s="162"/>
      <c r="C19" s="163"/>
      <c r="D19" s="163"/>
      <c r="E19" s="163"/>
      <c r="F19" s="159"/>
      <c r="G19" s="163"/>
      <c r="H19" s="163"/>
      <c r="I19" s="163"/>
      <c r="J19" s="164"/>
      <c r="K19" s="161"/>
      <c r="L19" s="162"/>
      <c r="M19" s="163"/>
      <c r="N19" s="163"/>
      <c r="O19" s="159"/>
      <c r="P19" s="163"/>
      <c r="Q19" s="163"/>
      <c r="R19" s="164"/>
      <c r="S19" s="161"/>
      <c r="T19" s="378"/>
      <c r="U19" s="379"/>
      <c r="V19" s="384"/>
      <c r="W19" s="383"/>
      <c r="X19" s="378"/>
      <c r="Y19" s="382"/>
      <c r="Z19" s="383"/>
      <c r="AA19" s="110"/>
      <c r="AB19" s="371"/>
      <c r="AC19" s="372"/>
      <c r="AD19" s="371"/>
      <c r="AE19" s="303"/>
      <c r="AF19" s="302"/>
      <c r="AG19" s="377"/>
      <c r="AH19" s="303"/>
    </row>
    <row r="20" spans="1:34" ht="15" customHeight="1" x14ac:dyDescent="0.3">
      <c r="A20" s="357" t="s">
        <v>309</v>
      </c>
      <c r="B20" s="162" t="s">
        <v>27</v>
      </c>
      <c r="C20" s="163" t="s">
        <v>41</v>
      </c>
      <c r="D20" s="163" t="s">
        <v>55</v>
      </c>
      <c r="E20" s="163" t="s">
        <v>10</v>
      </c>
      <c r="F20" s="159"/>
      <c r="G20" s="163" t="s">
        <v>39</v>
      </c>
      <c r="H20" s="163" t="s">
        <v>38</v>
      </c>
      <c r="I20" s="163" t="s">
        <v>11</v>
      </c>
      <c r="J20" s="164" t="s">
        <v>15</v>
      </c>
      <c r="K20" s="145"/>
      <c r="L20" s="162" t="s">
        <v>27</v>
      </c>
      <c r="M20" s="163" t="s">
        <v>41</v>
      </c>
      <c r="N20" s="163" t="s">
        <v>10</v>
      </c>
      <c r="O20" s="159"/>
      <c r="P20" s="163" t="s">
        <v>39</v>
      </c>
      <c r="Q20" s="163" t="s">
        <v>38</v>
      </c>
      <c r="R20" s="164" t="s">
        <v>15</v>
      </c>
      <c r="T20" s="359" t="s">
        <v>10</v>
      </c>
      <c r="U20" s="360"/>
      <c r="V20" s="361" t="s">
        <v>39</v>
      </c>
      <c r="W20" s="361"/>
      <c r="X20" s="396" t="s">
        <v>10</v>
      </c>
      <c r="Y20" s="398"/>
      <c r="Z20" s="392"/>
      <c r="AA20" s="110"/>
      <c r="AB20" s="369"/>
      <c r="AC20" s="370"/>
      <c r="AD20" s="369"/>
      <c r="AE20" s="301"/>
      <c r="AF20" s="375"/>
      <c r="AG20" s="376"/>
      <c r="AH20" s="374"/>
    </row>
    <row r="21" spans="1:34" ht="15" customHeight="1" x14ac:dyDescent="0.3">
      <c r="A21" s="358"/>
      <c r="B21" s="162"/>
      <c r="C21" s="163"/>
      <c r="D21" s="163"/>
      <c r="E21" s="163"/>
      <c r="F21" s="159"/>
      <c r="G21" s="163"/>
      <c r="H21" s="163"/>
      <c r="I21" s="163"/>
      <c r="J21" s="164"/>
      <c r="K21" s="145"/>
      <c r="L21" s="162"/>
      <c r="M21" s="163"/>
      <c r="N21" s="163"/>
      <c r="O21" s="159"/>
      <c r="P21" s="163"/>
      <c r="Q21" s="163"/>
      <c r="R21" s="164"/>
      <c r="S21" s="145"/>
      <c r="T21" s="378"/>
      <c r="U21" s="379"/>
      <c r="V21" s="380"/>
      <c r="W21" s="381"/>
      <c r="X21" s="393"/>
      <c r="Y21" s="394"/>
      <c r="Z21" s="381"/>
      <c r="AA21" s="110"/>
      <c r="AB21" s="371"/>
      <c r="AC21" s="372"/>
      <c r="AD21" s="371"/>
      <c r="AE21" s="303"/>
      <c r="AF21" s="302"/>
      <c r="AG21" s="377"/>
      <c r="AH21" s="303"/>
    </row>
    <row r="22" spans="1:34" ht="15" customHeight="1" x14ac:dyDescent="0.3">
      <c r="A22" s="336" t="s">
        <v>308</v>
      </c>
      <c r="B22" s="162" t="s">
        <v>27</v>
      </c>
      <c r="C22" s="163" t="s">
        <v>41</v>
      </c>
      <c r="D22" s="163" t="s">
        <v>46</v>
      </c>
      <c r="E22" s="163" t="s">
        <v>10</v>
      </c>
      <c r="F22" s="159"/>
      <c r="G22" s="163" t="s">
        <v>39</v>
      </c>
      <c r="H22" s="163" t="s">
        <v>44</v>
      </c>
      <c r="I22" s="163" t="s">
        <v>50</v>
      </c>
      <c r="J22" s="164" t="s">
        <v>42</v>
      </c>
      <c r="K22" s="145"/>
      <c r="L22" s="162" t="s">
        <v>40</v>
      </c>
      <c r="M22" s="163" t="s">
        <v>56</v>
      </c>
      <c r="N22" s="163" t="s">
        <v>16</v>
      </c>
      <c r="O22" s="159"/>
      <c r="P22" s="163" t="s">
        <v>43</v>
      </c>
      <c r="Q22" s="163" t="s">
        <v>44</v>
      </c>
      <c r="R22" s="164" t="s">
        <v>18</v>
      </c>
      <c r="S22" s="145"/>
      <c r="T22" s="359" t="s">
        <v>27</v>
      </c>
      <c r="U22" s="360"/>
      <c r="V22" s="361" t="s">
        <v>39</v>
      </c>
      <c r="W22" s="361"/>
      <c r="X22" s="396" t="s">
        <v>27</v>
      </c>
      <c r="Y22" s="398"/>
      <c r="Z22" s="392"/>
      <c r="AB22" s="105"/>
      <c r="AC22" s="105"/>
      <c r="AD22" s="105"/>
      <c r="AE22" s="105"/>
      <c r="AF22" s="105"/>
      <c r="AG22" s="105"/>
      <c r="AH22" s="105"/>
    </row>
    <row r="23" spans="1:34" ht="15" customHeight="1" thickBot="1" x14ac:dyDescent="0.35">
      <c r="A23" s="388"/>
      <c r="B23" s="162"/>
      <c r="C23" s="163"/>
      <c r="D23" s="163"/>
      <c r="E23" s="163"/>
      <c r="F23" s="169"/>
      <c r="G23" s="163"/>
      <c r="H23" s="163"/>
      <c r="I23" s="163"/>
      <c r="J23" s="164"/>
      <c r="K23" s="151"/>
      <c r="L23" s="162"/>
      <c r="M23" s="163"/>
      <c r="N23" s="163"/>
      <c r="O23" s="159"/>
      <c r="P23" s="163"/>
      <c r="Q23" s="163"/>
      <c r="R23" s="164"/>
      <c r="S23" s="146"/>
      <c r="T23" s="378"/>
      <c r="U23" s="379"/>
      <c r="V23" s="380"/>
      <c r="W23" s="381"/>
      <c r="X23" s="393"/>
      <c r="Y23" s="394"/>
      <c r="Z23" s="381"/>
      <c r="AB23" s="105"/>
      <c r="AC23" s="105"/>
      <c r="AD23" s="105"/>
      <c r="AE23" s="105"/>
      <c r="AF23" s="105"/>
      <c r="AG23" s="105"/>
      <c r="AH23" s="105"/>
    </row>
    <row r="24" spans="1:34" ht="15" customHeight="1" x14ac:dyDescent="0.3">
      <c r="A24" s="109" t="s">
        <v>295</v>
      </c>
      <c r="B24" s="162" t="s">
        <v>27</v>
      </c>
      <c r="C24" s="163" t="s">
        <v>41</v>
      </c>
      <c r="D24" s="163" t="s">
        <v>46</v>
      </c>
      <c r="E24" s="163" t="s">
        <v>16</v>
      </c>
      <c r="F24" s="159"/>
      <c r="G24" s="163" t="s">
        <v>39</v>
      </c>
      <c r="H24" s="163" t="s">
        <v>38</v>
      </c>
      <c r="I24" s="163" t="s">
        <v>11</v>
      </c>
      <c r="J24" s="164" t="s">
        <v>18</v>
      </c>
      <c r="K24" s="145"/>
      <c r="L24" s="162" t="s">
        <v>57</v>
      </c>
      <c r="M24" s="163" t="s">
        <v>40</v>
      </c>
      <c r="N24" s="163" t="s">
        <v>12</v>
      </c>
      <c r="O24" s="159"/>
      <c r="P24" s="163" t="s">
        <v>38</v>
      </c>
      <c r="Q24" s="163" t="s">
        <v>15</v>
      </c>
      <c r="R24" s="164" t="s">
        <v>49</v>
      </c>
      <c r="S24" s="145"/>
      <c r="T24" s="364" t="s">
        <v>10</v>
      </c>
      <c r="U24" s="365"/>
      <c r="V24" s="366" t="s">
        <v>39</v>
      </c>
      <c r="W24" s="367"/>
      <c r="X24" s="364" t="s">
        <v>10</v>
      </c>
      <c r="Y24" s="368"/>
      <c r="Z24" s="367"/>
      <c r="AA24" s="110"/>
      <c r="AB24" s="369"/>
      <c r="AC24" s="370"/>
      <c r="AD24" s="369"/>
      <c r="AE24" s="301"/>
      <c r="AF24" s="385"/>
      <c r="AG24" s="386"/>
      <c r="AH24" s="387"/>
    </row>
    <row r="25" spans="1:34" ht="15" customHeight="1" thickBot="1" x14ac:dyDescent="0.35">
      <c r="A25" s="107"/>
      <c r="B25" s="162"/>
      <c r="C25" s="163"/>
      <c r="D25" s="163"/>
      <c r="E25" s="163"/>
      <c r="F25" s="169"/>
      <c r="G25" s="163"/>
      <c r="H25" s="163"/>
      <c r="I25" s="163"/>
      <c r="J25" s="164"/>
      <c r="K25" s="151"/>
      <c r="L25" s="162"/>
      <c r="M25" s="163"/>
      <c r="N25" s="163"/>
      <c r="O25" s="159"/>
      <c r="P25" s="163"/>
      <c r="Q25" s="163"/>
      <c r="R25" s="164"/>
      <c r="S25" s="146"/>
      <c r="T25" s="378"/>
      <c r="U25" s="379"/>
      <c r="V25" s="380"/>
      <c r="W25" s="381"/>
      <c r="X25" s="393"/>
      <c r="Y25" s="394"/>
      <c r="Z25" s="381"/>
      <c r="AB25" s="371"/>
      <c r="AC25" s="372"/>
      <c r="AD25" s="371"/>
      <c r="AE25" s="303"/>
      <c r="AF25" s="302"/>
      <c r="AG25" s="377"/>
      <c r="AH25" s="303"/>
    </row>
    <row r="26" spans="1:34" ht="15" customHeight="1" x14ac:dyDescent="0.3">
      <c r="A26" s="109" t="s">
        <v>565</v>
      </c>
      <c r="B26" s="170" t="s">
        <v>45</v>
      </c>
      <c r="C26" s="169" t="s">
        <v>41</v>
      </c>
      <c r="D26" s="169" t="s">
        <v>55</v>
      </c>
      <c r="E26" s="169" t="s">
        <v>10</v>
      </c>
      <c r="F26" s="159"/>
      <c r="G26" s="169" t="s">
        <v>39</v>
      </c>
      <c r="H26" s="169" t="s">
        <v>9</v>
      </c>
      <c r="I26" s="169" t="s">
        <v>11</v>
      </c>
      <c r="J26" s="171" t="s">
        <v>18</v>
      </c>
      <c r="K26" s="161"/>
      <c r="L26" s="170" t="s">
        <v>27</v>
      </c>
      <c r="M26" s="169" t="s">
        <v>12</v>
      </c>
      <c r="N26" s="169" t="s">
        <v>54</v>
      </c>
      <c r="O26" s="159"/>
      <c r="P26" s="169" t="s">
        <v>38</v>
      </c>
      <c r="Q26" s="169" t="s">
        <v>15</v>
      </c>
      <c r="R26" s="171" t="s">
        <v>42</v>
      </c>
      <c r="S26" s="161"/>
      <c r="T26" s="396" t="s">
        <v>18</v>
      </c>
      <c r="U26" s="397"/>
      <c r="V26" s="391" t="s">
        <v>10</v>
      </c>
      <c r="W26" s="392"/>
      <c r="X26" s="396" t="s">
        <v>18</v>
      </c>
      <c r="Y26" s="398"/>
      <c r="Z26" s="392"/>
      <c r="AA26" s="100"/>
      <c r="AB26" s="400"/>
      <c r="AC26" s="401"/>
      <c r="AD26" s="369"/>
      <c r="AE26" s="301"/>
      <c r="AF26" s="385"/>
      <c r="AG26" s="386"/>
      <c r="AH26" s="387"/>
    </row>
    <row r="27" spans="1:34" ht="15" customHeight="1" thickBot="1" x14ac:dyDescent="0.35">
      <c r="A27" s="107"/>
      <c r="B27" s="162"/>
      <c r="C27" s="163"/>
      <c r="D27" s="163"/>
      <c r="E27" s="163"/>
      <c r="F27" s="159"/>
      <c r="G27" s="163"/>
      <c r="H27" s="163"/>
      <c r="I27" s="163"/>
      <c r="J27" s="164"/>
      <c r="K27" s="161"/>
      <c r="L27" s="162"/>
      <c r="M27" s="163"/>
      <c r="N27" s="163"/>
      <c r="O27" s="159"/>
      <c r="P27" s="163"/>
      <c r="Q27" s="163"/>
      <c r="R27" s="164"/>
      <c r="S27" s="161"/>
      <c r="T27" s="378"/>
      <c r="U27" s="379"/>
      <c r="V27" s="380"/>
      <c r="W27" s="381"/>
      <c r="X27" s="378"/>
      <c r="Y27" s="382"/>
      <c r="Z27" s="383"/>
      <c r="AA27" s="100"/>
      <c r="AB27" s="371"/>
      <c r="AC27" s="372"/>
      <c r="AD27" s="371"/>
      <c r="AE27" s="303"/>
      <c r="AF27" s="302"/>
      <c r="AG27" s="377"/>
      <c r="AH27" s="303"/>
    </row>
    <row r="28" spans="1:34" ht="15" customHeight="1" x14ac:dyDescent="0.3">
      <c r="A28" s="113" t="s">
        <v>595</v>
      </c>
      <c r="B28" s="162" t="s">
        <v>27</v>
      </c>
      <c r="C28" s="163" t="s">
        <v>41</v>
      </c>
      <c r="D28" s="163" t="s">
        <v>55</v>
      </c>
      <c r="E28" s="163" t="s">
        <v>10</v>
      </c>
      <c r="F28" s="159"/>
      <c r="G28" s="163" t="s">
        <v>39</v>
      </c>
      <c r="H28" s="163" t="s">
        <v>38</v>
      </c>
      <c r="I28" s="163" t="s">
        <v>11</v>
      </c>
      <c r="J28" s="164" t="s">
        <v>18</v>
      </c>
      <c r="K28" s="161"/>
      <c r="L28" s="162" t="s">
        <v>15</v>
      </c>
      <c r="M28" s="163" t="s">
        <v>12</v>
      </c>
      <c r="N28" s="163" t="s">
        <v>54</v>
      </c>
      <c r="O28" s="159"/>
      <c r="P28" s="163" t="s">
        <v>15</v>
      </c>
      <c r="Q28" s="163" t="s">
        <v>9</v>
      </c>
      <c r="R28" s="164" t="s">
        <v>44</v>
      </c>
      <c r="S28" s="161"/>
      <c r="T28" s="396" t="s">
        <v>27</v>
      </c>
      <c r="U28" s="397"/>
      <c r="V28" s="391" t="s">
        <v>39</v>
      </c>
      <c r="W28" s="392"/>
      <c r="X28" s="396" t="s">
        <v>27</v>
      </c>
      <c r="Y28" s="398"/>
      <c r="Z28" s="392"/>
      <c r="AA28" s="110"/>
      <c r="AB28" s="369"/>
      <c r="AC28" s="370"/>
      <c r="AD28" s="369"/>
      <c r="AE28" s="301"/>
      <c r="AF28" s="385"/>
      <c r="AG28" s="386"/>
      <c r="AH28" s="387"/>
    </row>
    <row r="29" spans="1:34" ht="15" customHeight="1" thickBot="1" x14ac:dyDescent="0.35">
      <c r="A29" s="107"/>
      <c r="B29" s="162"/>
      <c r="C29" s="163"/>
      <c r="D29" s="163"/>
      <c r="E29" s="163"/>
      <c r="F29" s="159"/>
      <c r="G29" s="163"/>
      <c r="H29" s="163"/>
      <c r="I29" s="163"/>
      <c r="J29" s="164"/>
      <c r="K29" s="161"/>
      <c r="L29" s="162"/>
      <c r="M29" s="163"/>
      <c r="N29" s="163"/>
      <c r="O29" s="159"/>
      <c r="P29" s="163"/>
      <c r="Q29" s="163"/>
      <c r="R29" s="164"/>
      <c r="S29" s="161"/>
      <c r="T29" s="378"/>
      <c r="U29" s="379"/>
      <c r="V29" s="380"/>
      <c r="W29" s="381"/>
      <c r="X29" s="393"/>
      <c r="Y29" s="394"/>
      <c r="Z29" s="381"/>
      <c r="AA29" s="110"/>
      <c r="AB29" s="371"/>
      <c r="AC29" s="372"/>
      <c r="AD29" s="371"/>
      <c r="AE29" s="303"/>
      <c r="AF29" s="302"/>
      <c r="AG29" s="377"/>
      <c r="AH29" s="303"/>
    </row>
    <row r="30" spans="1:34" ht="15" customHeight="1" x14ac:dyDescent="0.3">
      <c r="A30" s="113" t="s">
        <v>596</v>
      </c>
      <c r="B30" s="162" t="s">
        <v>27</v>
      </c>
      <c r="C30" s="163" t="s">
        <v>40</v>
      </c>
      <c r="D30" s="163" t="s">
        <v>51</v>
      </c>
      <c r="E30" s="163" t="s">
        <v>10</v>
      </c>
      <c r="F30" s="159"/>
      <c r="G30" s="163" t="s">
        <v>39</v>
      </c>
      <c r="H30" s="163" t="s">
        <v>38</v>
      </c>
      <c r="I30" s="163" t="s">
        <v>11</v>
      </c>
      <c r="J30" s="164" t="s">
        <v>42</v>
      </c>
      <c r="K30" s="161"/>
      <c r="L30" s="162" t="s">
        <v>54</v>
      </c>
      <c r="M30" s="163" t="s">
        <v>12</v>
      </c>
      <c r="N30" s="163" t="s">
        <v>41</v>
      </c>
      <c r="O30" s="159"/>
      <c r="P30" s="163" t="s">
        <v>44</v>
      </c>
      <c r="Q30" s="163" t="s">
        <v>43</v>
      </c>
      <c r="R30" s="164" t="s">
        <v>18</v>
      </c>
      <c r="S30" s="161"/>
      <c r="T30" s="396" t="s">
        <v>27</v>
      </c>
      <c r="U30" s="397"/>
      <c r="V30" s="391" t="s">
        <v>38</v>
      </c>
      <c r="W30" s="392"/>
      <c r="X30" s="396" t="s">
        <v>27</v>
      </c>
      <c r="Y30" s="398"/>
      <c r="Z30" s="392"/>
      <c r="AA30" s="110"/>
      <c r="AB30" s="400"/>
      <c r="AC30" s="401"/>
      <c r="AD30" s="369"/>
      <c r="AE30" s="301"/>
      <c r="AF30" s="385"/>
      <c r="AG30" s="386"/>
      <c r="AH30" s="387"/>
    </row>
    <row r="31" spans="1:34" ht="15" customHeight="1" thickBot="1" x14ac:dyDescent="0.35">
      <c r="A31" s="107"/>
      <c r="B31" s="162"/>
      <c r="C31" s="163"/>
      <c r="D31" s="163"/>
      <c r="E31" s="163"/>
      <c r="F31" s="159"/>
      <c r="G31" s="163"/>
      <c r="H31" s="163"/>
      <c r="I31" s="163"/>
      <c r="J31" s="164"/>
      <c r="K31" s="161"/>
      <c r="L31" s="162"/>
      <c r="M31" s="163"/>
      <c r="N31" s="163"/>
      <c r="O31" s="159"/>
      <c r="P31" s="163"/>
      <c r="Q31" s="163"/>
      <c r="R31" s="164"/>
      <c r="S31" s="161"/>
      <c r="T31" s="378"/>
      <c r="U31" s="379"/>
      <c r="V31" s="380"/>
      <c r="W31" s="381"/>
      <c r="X31" s="378"/>
      <c r="Y31" s="382"/>
      <c r="Z31" s="383"/>
      <c r="AA31" s="110"/>
      <c r="AB31" s="371"/>
      <c r="AC31" s="372"/>
      <c r="AD31" s="371"/>
      <c r="AE31" s="303"/>
      <c r="AF31" s="302"/>
      <c r="AG31" s="377"/>
      <c r="AH31" s="303"/>
    </row>
    <row r="32" spans="1:34" ht="15" customHeight="1" x14ac:dyDescent="0.3">
      <c r="A32" s="113" t="s">
        <v>597</v>
      </c>
      <c r="B32" s="162" t="s">
        <v>27</v>
      </c>
      <c r="C32" s="163" t="s">
        <v>41</v>
      </c>
      <c r="D32" s="163" t="s">
        <v>55</v>
      </c>
      <c r="E32" s="163" t="s">
        <v>10</v>
      </c>
      <c r="F32" s="159"/>
      <c r="G32" s="163" t="s">
        <v>39</v>
      </c>
      <c r="H32" s="163" t="s">
        <v>38</v>
      </c>
      <c r="I32" s="163" t="s">
        <v>11</v>
      </c>
      <c r="J32" s="164" t="s">
        <v>18</v>
      </c>
      <c r="K32" s="161"/>
      <c r="L32" s="162" t="s">
        <v>54</v>
      </c>
      <c r="M32" s="163" t="s">
        <v>57</v>
      </c>
      <c r="N32" s="163" t="s">
        <v>12</v>
      </c>
      <c r="O32" s="159"/>
      <c r="P32" s="163" t="s">
        <v>43</v>
      </c>
      <c r="Q32" s="163" t="s">
        <v>9</v>
      </c>
      <c r="R32" s="164" t="s">
        <v>15</v>
      </c>
      <c r="S32" s="161"/>
      <c r="T32" s="396" t="s">
        <v>41</v>
      </c>
      <c r="U32" s="397"/>
      <c r="V32" s="391" t="s">
        <v>39</v>
      </c>
      <c r="W32" s="392"/>
      <c r="X32" s="396" t="s">
        <v>41</v>
      </c>
      <c r="Y32" s="398"/>
      <c r="Z32" s="392"/>
      <c r="AA32" s="110"/>
      <c r="AB32" s="369"/>
      <c r="AC32" s="370"/>
      <c r="AD32" s="369"/>
      <c r="AE32" s="301"/>
      <c r="AF32" s="385"/>
      <c r="AG32" s="386"/>
      <c r="AH32" s="387"/>
    </row>
    <row r="33" spans="1:34" ht="15" customHeight="1" x14ac:dyDescent="0.3">
      <c r="A33" s="107"/>
      <c r="B33" s="162"/>
      <c r="C33" s="163"/>
      <c r="D33" s="163"/>
      <c r="E33" s="163"/>
      <c r="F33" s="159"/>
      <c r="G33" s="163"/>
      <c r="H33" s="163"/>
      <c r="I33" s="163"/>
      <c r="J33" s="164"/>
      <c r="K33" s="161"/>
      <c r="L33" s="162"/>
      <c r="M33" s="163"/>
      <c r="N33" s="163"/>
      <c r="O33" s="159"/>
      <c r="P33" s="163"/>
      <c r="Q33" s="163"/>
      <c r="R33" s="164"/>
      <c r="S33" s="161"/>
      <c r="T33" s="378"/>
      <c r="U33" s="379"/>
      <c r="V33" s="380"/>
      <c r="W33" s="381"/>
      <c r="X33" s="378"/>
      <c r="Y33" s="382"/>
      <c r="Z33" s="383"/>
      <c r="AA33" s="110"/>
      <c r="AB33" s="371"/>
      <c r="AC33" s="372"/>
      <c r="AD33" s="371"/>
      <c r="AE33" s="303"/>
      <c r="AF33" s="302"/>
      <c r="AG33" s="377"/>
      <c r="AH33" s="303"/>
    </row>
    <row r="34" spans="1:34" ht="15" customHeight="1" thickBot="1" x14ac:dyDescent="0.35">
      <c r="A34" s="109"/>
      <c r="B34" s="162"/>
      <c r="C34" s="163"/>
      <c r="D34" s="163"/>
      <c r="E34" s="163"/>
      <c r="F34" s="159"/>
      <c r="G34" s="163"/>
      <c r="H34" s="163"/>
      <c r="I34" s="163"/>
      <c r="J34" s="164"/>
      <c r="K34" s="161"/>
      <c r="L34" s="162"/>
      <c r="M34" s="163"/>
      <c r="N34" s="163"/>
      <c r="O34" s="159"/>
      <c r="P34" s="163"/>
      <c r="Q34" s="163"/>
      <c r="R34" s="164"/>
      <c r="S34" s="161"/>
      <c r="T34" s="165"/>
      <c r="U34" s="166"/>
      <c r="V34" s="172"/>
      <c r="W34" s="173"/>
      <c r="X34" s="165"/>
      <c r="Y34" s="145"/>
      <c r="Z34" s="167"/>
      <c r="AA34" s="110"/>
      <c r="AB34" s="111"/>
      <c r="AC34" s="108"/>
      <c r="AD34" s="111"/>
      <c r="AE34" s="106"/>
      <c r="AF34" s="104"/>
      <c r="AG34" s="105"/>
      <c r="AH34" s="106"/>
    </row>
    <row r="35" spans="1:34" ht="15.75" customHeight="1" thickTop="1" thickBot="1" x14ac:dyDescent="0.35">
      <c r="A35" s="335" t="s">
        <v>25</v>
      </c>
      <c r="B35" s="338" t="s">
        <v>28</v>
      </c>
      <c r="C35" s="339"/>
      <c r="D35" s="339"/>
      <c r="E35" s="339"/>
      <c r="F35" s="339"/>
      <c r="G35" s="339"/>
      <c r="H35" s="339"/>
      <c r="I35" s="339"/>
      <c r="J35" s="340"/>
      <c r="K35" s="146"/>
      <c r="L35" s="338" t="s">
        <v>29</v>
      </c>
      <c r="M35" s="339"/>
      <c r="N35" s="339"/>
      <c r="O35" s="339"/>
      <c r="P35" s="339"/>
      <c r="Q35" s="339"/>
      <c r="R35" s="340"/>
      <c r="S35" s="145"/>
      <c r="T35" s="147" t="s">
        <v>643</v>
      </c>
      <c r="U35" s="148"/>
      <c r="V35" s="148"/>
      <c r="W35" s="149"/>
      <c r="X35" s="341" t="s">
        <v>642</v>
      </c>
      <c r="Y35" s="342"/>
      <c r="Z35" s="343"/>
      <c r="AA35" s="100"/>
      <c r="AB35" s="350" t="s">
        <v>35</v>
      </c>
      <c r="AC35" s="351"/>
      <c r="AD35" s="350" t="s">
        <v>641</v>
      </c>
      <c r="AE35" s="356"/>
      <c r="AF35" s="307" t="s">
        <v>31</v>
      </c>
      <c r="AG35" s="316"/>
      <c r="AH35" s="308"/>
    </row>
    <row r="36" spans="1:34" ht="15" customHeight="1" x14ac:dyDescent="0.3">
      <c r="A36" s="336"/>
      <c r="B36" s="321" t="s">
        <v>3</v>
      </c>
      <c r="C36" s="322"/>
      <c r="D36" s="322"/>
      <c r="E36" s="322"/>
      <c r="F36" s="150"/>
      <c r="G36" s="323" t="s">
        <v>4</v>
      </c>
      <c r="H36" s="322"/>
      <c r="I36" s="322"/>
      <c r="J36" s="324"/>
      <c r="K36" s="151"/>
      <c r="L36" s="325" t="s">
        <v>3</v>
      </c>
      <c r="M36" s="326"/>
      <c r="N36" s="326"/>
      <c r="O36" s="150"/>
      <c r="P36" s="329" t="s">
        <v>4</v>
      </c>
      <c r="Q36" s="326"/>
      <c r="R36" s="330"/>
      <c r="S36" s="146"/>
      <c r="T36" s="325" t="s">
        <v>3</v>
      </c>
      <c r="U36" s="333"/>
      <c r="V36" s="329" t="s">
        <v>4</v>
      </c>
      <c r="W36" s="330"/>
      <c r="X36" s="344"/>
      <c r="Y36" s="345"/>
      <c r="Z36" s="346"/>
      <c r="AA36" s="100"/>
      <c r="AB36" s="352"/>
      <c r="AC36" s="353"/>
      <c r="AD36" s="352"/>
      <c r="AE36" s="310"/>
      <c r="AF36" s="309"/>
      <c r="AG36" s="317"/>
      <c r="AH36" s="310"/>
    </row>
    <row r="37" spans="1:34" ht="15.75" customHeight="1" thickBot="1" x14ac:dyDescent="0.35">
      <c r="A37" s="337"/>
      <c r="B37" s="152" t="s">
        <v>6</v>
      </c>
      <c r="C37" s="153" t="s">
        <v>5</v>
      </c>
      <c r="D37" s="154" t="s">
        <v>7</v>
      </c>
      <c r="E37" s="154" t="s">
        <v>8</v>
      </c>
      <c r="F37" s="155"/>
      <c r="G37" s="154" t="s">
        <v>6</v>
      </c>
      <c r="H37" s="154" t="s">
        <v>5</v>
      </c>
      <c r="I37" s="154" t="s">
        <v>7</v>
      </c>
      <c r="J37" s="154" t="s">
        <v>8</v>
      </c>
      <c r="K37" s="151"/>
      <c r="L37" s="327"/>
      <c r="M37" s="328"/>
      <c r="N37" s="328"/>
      <c r="O37" s="156"/>
      <c r="P37" s="331"/>
      <c r="Q37" s="328"/>
      <c r="R37" s="332"/>
      <c r="S37" s="151"/>
      <c r="T37" s="327"/>
      <c r="U37" s="334"/>
      <c r="V37" s="331"/>
      <c r="W37" s="332"/>
      <c r="X37" s="347"/>
      <c r="Y37" s="348"/>
      <c r="Z37" s="349"/>
      <c r="AA37" s="102"/>
      <c r="AB37" s="354"/>
      <c r="AC37" s="355"/>
      <c r="AD37" s="354"/>
      <c r="AE37" s="312"/>
      <c r="AF37" s="318"/>
      <c r="AG37" s="319"/>
      <c r="AH37" s="320"/>
    </row>
    <row r="38" spans="1:34" ht="15" customHeight="1" x14ac:dyDescent="0.3">
      <c r="A38" s="115" t="s">
        <v>307</v>
      </c>
      <c r="B38" s="162" t="s">
        <v>27</v>
      </c>
      <c r="C38" s="163" t="s">
        <v>41</v>
      </c>
      <c r="D38" s="163" t="s">
        <v>55</v>
      </c>
      <c r="E38" s="163" t="s">
        <v>57</v>
      </c>
      <c r="F38" s="159"/>
      <c r="G38" s="163" t="s">
        <v>39</v>
      </c>
      <c r="H38" s="163" t="s">
        <v>9</v>
      </c>
      <c r="I38" s="163" t="s">
        <v>11</v>
      </c>
      <c r="J38" s="164" t="s">
        <v>15</v>
      </c>
      <c r="K38" s="161"/>
      <c r="L38" s="162" t="s">
        <v>40</v>
      </c>
      <c r="M38" s="163" t="s">
        <v>54</v>
      </c>
      <c r="N38" s="163" t="s">
        <v>10</v>
      </c>
      <c r="O38" s="159"/>
      <c r="P38" s="163" t="s">
        <v>43</v>
      </c>
      <c r="Q38" s="163" t="s">
        <v>38</v>
      </c>
      <c r="R38" s="164" t="s">
        <v>18</v>
      </c>
      <c r="S38" s="161"/>
      <c r="T38" s="396" t="s">
        <v>27</v>
      </c>
      <c r="U38" s="397"/>
      <c r="V38" s="391" t="s">
        <v>15</v>
      </c>
      <c r="W38" s="392"/>
      <c r="X38" s="396" t="s">
        <v>27</v>
      </c>
      <c r="Y38" s="398"/>
      <c r="Z38" s="392"/>
      <c r="AA38" s="110"/>
      <c r="AB38" s="400"/>
      <c r="AC38" s="401"/>
      <c r="AD38" s="369"/>
      <c r="AE38" s="301"/>
      <c r="AF38" s="385"/>
      <c r="AG38" s="386"/>
      <c r="AH38" s="387"/>
    </row>
    <row r="39" spans="1:34" ht="15" customHeight="1" thickBot="1" x14ac:dyDescent="0.35">
      <c r="A39" s="112"/>
      <c r="B39" s="162"/>
      <c r="C39" s="163"/>
      <c r="D39" s="163"/>
      <c r="E39" s="163"/>
      <c r="F39" s="159"/>
      <c r="G39" s="163"/>
      <c r="H39" s="163"/>
      <c r="I39" s="163"/>
      <c r="J39" s="164"/>
      <c r="K39" s="161"/>
      <c r="L39" s="162"/>
      <c r="M39" s="163"/>
      <c r="N39" s="163"/>
      <c r="O39" s="159"/>
      <c r="P39" s="163"/>
      <c r="Q39" s="163"/>
      <c r="R39" s="164"/>
      <c r="S39" s="161"/>
      <c r="T39" s="378"/>
      <c r="U39" s="379"/>
      <c r="V39" s="380"/>
      <c r="W39" s="381"/>
      <c r="X39" s="378"/>
      <c r="Y39" s="382"/>
      <c r="Z39" s="383"/>
      <c r="AA39" s="110"/>
      <c r="AB39" s="371"/>
      <c r="AC39" s="372"/>
      <c r="AD39" s="371"/>
      <c r="AE39" s="303"/>
      <c r="AF39" s="302"/>
      <c r="AG39" s="377"/>
      <c r="AH39" s="303"/>
    </row>
    <row r="40" spans="1:34" ht="15" customHeight="1" x14ac:dyDescent="0.3">
      <c r="A40" s="402" t="s">
        <v>306</v>
      </c>
      <c r="B40" s="162" t="s">
        <v>27</v>
      </c>
      <c r="C40" s="163" t="s">
        <v>41</v>
      </c>
      <c r="D40" s="163" t="s">
        <v>55</v>
      </c>
      <c r="E40" s="163" t="s">
        <v>10</v>
      </c>
      <c r="F40" s="159"/>
      <c r="G40" s="163" t="s">
        <v>39</v>
      </c>
      <c r="H40" s="163" t="s">
        <v>38</v>
      </c>
      <c r="I40" s="163" t="s">
        <v>11</v>
      </c>
      <c r="J40" s="164" t="s">
        <v>18</v>
      </c>
      <c r="K40" s="161"/>
      <c r="L40" s="162" t="s">
        <v>40</v>
      </c>
      <c r="M40" s="163" t="s">
        <v>51</v>
      </c>
      <c r="N40" s="163" t="s">
        <v>57</v>
      </c>
      <c r="O40" s="159"/>
      <c r="P40" s="163" t="s">
        <v>50</v>
      </c>
      <c r="Q40" s="163" t="s">
        <v>15</v>
      </c>
      <c r="R40" s="164" t="s">
        <v>9</v>
      </c>
      <c r="S40" s="161"/>
      <c r="T40" s="396" t="s">
        <v>18</v>
      </c>
      <c r="U40" s="397"/>
      <c r="V40" s="391" t="s">
        <v>10</v>
      </c>
      <c r="W40" s="392"/>
      <c r="X40" s="396" t="s">
        <v>18</v>
      </c>
      <c r="Y40" s="398"/>
      <c r="Z40" s="392"/>
      <c r="AA40" s="110"/>
      <c r="AB40" s="369"/>
      <c r="AC40" s="370"/>
      <c r="AD40" s="369"/>
      <c r="AE40" s="301"/>
      <c r="AF40" s="385"/>
      <c r="AG40" s="386"/>
      <c r="AH40" s="387"/>
    </row>
    <row r="41" spans="1:34" ht="15" customHeight="1" thickBot="1" x14ac:dyDescent="0.35">
      <c r="A41" s="388"/>
      <c r="B41" s="162"/>
      <c r="C41" s="163"/>
      <c r="D41" s="163"/>
      <c r="E41" s="163"/>
      <c r="F41" s="159"/>
      <c r="G41" s="163"/>
      <c r="H41" s="163"/>
      <c r="I41" s="163"/>
      <c r="J41" s="164"/>
      <c r="K41" s="161"/>
      <c r="L41" s="162"/>
      <c r="M41" s="163"/>
      <c r="N41" s="163"/>
      <c r="O41" s="159"/>
      <c r="P41" s="163"/>
      <c r="Q41" s="163"/>
      <c r="R41" s="164"/>
      <c r="S41" s="161"/>
      <c r="T41" s="378"/>
      <c r="U41" s="379"/>
      <c r="V41" s="380"/>
      <c r="W41" s="381"/>
      <c r="X41" s="393"/>
      <c r="Y41" s="394"/>
      <c r="Z41" s="381"/>
      <c r="AA41" s="110"/>
      <c r="AB41" s="371"/>
      <c r="AC41" s="372"/>
      <c r="AD41" s="371"/>
      <c r="AE41" s="303"/>
      <c r="AF41" s="302"/>
      <c r="AG41" s="377"/>
      <c r="AH41" s="303"/>
    </row>
    <row r="42" spans="1:34" ht="15" customHeight="1" x14ac:dyDescent="0.3">
      <c r="A42" s="402" t="s">
        <v>298</v>
      </c>
      <c r="B42" s="162" t="s">
        <v>27</v>
      </c>
      <c r="C42" s="163" t="s">
        <v>41</v>
      </c>
      <c r="D42" s="163" t="s">
        <v>55</v>
      </c>
      <c r="E42" s="163" t="s">
        <v>10</v>
      </c>
      <c r="F42" s="159"/>
      <c r="G42" s="163" t="s">
        <v>39</v>
      </c>
      <c r="H42" s="163" t="s">
        <v>9</v>
      </c>
      <c r="I42" s="163" t="s">
        <v>11</v>
      </c>
      <c r="J42" s="164" t="s">
        <v>42</v>
      </c>
      <c r="K42" s="161"/>
      <c r="L42" s="162" t="s">
        <v>40</v>
      </c>
      <c r="M42" s="163" t="s">
        <v>12</v>
      </c>
      <c r="N42" s="163" t="s">
        <v>19</v>
      </c>
      <c r="O42" s="159"/>
      <c r="P42" s="163" t="s">
        <v>43</v>
      </c>
      <c r="Q42" s="163" t="s">
        <v>38</v>
      </c>
      <c r="R42" s="164" t="s">
        <v>15</v>
      </c>
      <c r="S42" s="161"/>
      <c r="T42" s="396" t="s">
        <v>27</v>
      </c>
      <c r="U42" s="397"/>
      <c r="V42" s="391" t="s">
        <v>39</v>
      </c>
      <c r="W42" s="392"/>
      <c r="X42" s="396" t="s">
        <v>27</v>
      </c>
      <c r="Y42" s="398"/>
      <c r="Z42" s="392"/>
      <c r="AA42" s="110"/>
      <c r="AB42" s="400"/>
      <c r="AC42" s="401"/>
      <c r="AD42" s="369"/>
      <c r="AE42" s="301"/>
      <c r="AF42" s="385"/>
      <c r="AG42" s="386"/>
      <c r="AH42" s="387"/>
    </row>
    <row r="43" spans="1:34" ht="15" customHeight="1" thickBot="1" x14ac:dyDescent="0.35">
      <c r="A43" s="388"/>
      <c r="B43" s="162"/>
      <c r="C43" s="163"/>
      <c r="D43" s="163"/>
      <c r="E43" s="163"/>
      <c r="F43" s="159"/>
      <c r="G43" s="163"/>
      <c r="H43" s="163"/>
      <c r="I43" s="163"/>
      <c r="J43" s="164"/>
      <c r="K43" s="161"/>
      <c r="L43" s="162"/>
      <c r="M43" s="163"/>
      <c r="N43" s="163"/>
      <c r="O43" s="159"/>
      <c r="P43" s="163"/>
      <c r="Q43" s="163"/>
      <c r="R43" s="164"/>
      <c r="S43" s="161"/>
      <c r="T43" s="378"/>
      <c r="U43" s="379"/>
      <c r="V43" s="380"/>
      <c r="W43" s="381"/>
      <c r="X43" s="378"/>
      <c r="Y43" s="382"/>
      <c r="Z43" s="383"/>
      <c r="AA43" s="110"/>
      <c r="AB43" s="371"/>
      <c r="AC43" s="372"/>
      <c r="AD43" s="371"/>
      <c r="AE43" s="303"/>
      <c r="AF43" s="302"/>
      <c r="AG43" s="377"/>
      <c r="AH43" s="303"/>
    </row>
    <row r="44" spans="1:34" ht="15" customHeight="1" x14ac:dyDescent="0.3">
      <c r="A44" s="357" t="s">
        <v>600</v>
      </c>
      <c r="B44" s="162" t="s">
        <v>27</v>
      </c>
      <c r="C44" s="163" t="s">
        <v>41</v>
      </c>
      <c r="D44" s="163" t="s">
        <v>55</v>
      </c>
      <c r="E44" s="163" t="s">
        <v>10</v>
      </c>
      <c r="F44" s="159"/>
      <c r="G44" s="163" t="s">
        <v>39</v>
      </c>
      <c r="H44" s="163" t="s">
        <v>38</v>
      </c>
      <c r="I44" s="163" t="s">
        <v>11</v>
      </c>
      <c r="J44" s="164" t="s">
        <v>18</v>
      </c>
      <c r="K44" s="145"/>
      <c r="L44" s="162" t="s">
        <v>40</v>
      </c>
      <c r="M44" s="163" t="s">
        <v>12</v>
      </c>
      <c r="N44" s="163" t="s">
        <v>45</v>
      </c>
      <c r="O44" s="159"/>
      <c r="P44" s="163" t="s">
        <v>9</v>
      </c>
      <c r="Q44" s="163" t="s">
        <v>15</v>
      </c>
      <c r="R44" s="164" t="s">
        <v>49</v>
      </c>
      <c r="T44" s="359" t="s">
        <v>18</v>
      </c>
      <c r="U44" s="360"/>
      <c r="V44" s="361" t="s">
        <v>41</v>
      </c>
      <c r="W44" s="361"/>
      <c r="X44" s="396" t="s">
        <v>18</v>
      </c>
      <c r="Y44" s="398"/>
      <c r="Z44" s="392"/>
      <c r="AA44" s="110"/>
      <c r="AB44" s="369"/>
      <c r="AC44" s="370"/>
      <c r="AD44" s="369"/>
      <c r="AE44" s="301"/>
      <c r="AF44" s="385"/>
      <c r="AG44" s="386"/>
      <c r="AH44" s="387"/>
    </row>
    <row r="45" spans="1:34" ht="15" customHeight="1" thickBot="1" x14ac:dyDescent="0.35">
      <c r="A45" s="358"/>
      <c r="B45" s="162"/>
      <c r="C45" s="163"/>
      <c r="D45" s="163"/>
      <c r="E45" s="163"/>
      <c r="F45" s="159"/>
      <c r="G45" s="163"/>
      <c r="H45" s="163"/>
      <c r="I45" s="163"/>
      <c r="J45" s="164"/>
      <c r="K45" s="145"/>
      <c r="L45" s="162"/>
      <c r="M45" s="163"/>
      <c r="N45" s="163"/>
      <c r="O45" s="159"/>
      <c r="P45" s="163"/>
      <c r="Q45" s="163"/>
      <c r="R45" s="164"/>
      <c r="S45" s="145"/>
      <c r="T45" s="378"/>
      <c r="U45" s="379"/>
      <c r="V45" s="380"/>
      <c r="W45" s="381"/>
      <c r="X45" s="393"/>
      <c r="Y45" s="394"/>
      <c r="Z45" s="381"/>
      <c r="AA45" s="110"/>
      <c r="AB45" s="371"/>
      <c r="AC45" s="372"/>
      <c r="AD45" s="371"/>
      <c r="AE45" s="303"/>
      <c r="AF45" s="302"/>
      <c r="AG45" s="377"/>
      <c r="AH45" s="303"/>
    </row>
    <row r="46" spans="1:34" ht="15" customHeight="1" x14ac:dyDescent="0.3">
      <c r="A46" s="336" t="s">
        <v>599</v>
      </c>
      <c r="B46" s="162" t="s">
        <v>27</v>
      </c>
      <c r="C46" s="163" t="s">
        <v>40</v>
      </c>
      <c r="D46" s="163" t="s">
        <v>55</v>
      </c>
      <c r="E46" s="163" t="s">
        <v>16</v>
      </c>
      <c r="F46" s="159"/>
      <c r="G46" s="163" t="s">
        <v>39</v>
      </c>
      <c r="H46" s="163" t="s">
        <v>9</v>
      </c>
      <c r="I46" s="163" t="s">
        <v>11</v>
      </c>
      <c r="J46" s="164" t="s">
        <v>18</v>
      </c>
      <c r="K46" s="145"/>
      <c r="L46" s="162" t="s">
        <v>41</v>
      </c>
      <c r="M46" s="163" t="s">
        <v>15</v>
      </c>
      <c r="N46" s="163" t="s">
        <v>10</v>
      </c>
      <c r="O46" s="159"/>
      <c r="P46" s="163" t="s">
        <v>42</v>
      </c>
      <c r="Q46" s="163" t="s">
        <v>38</v>
      </c>
      <c r="R46" s="164" t="s">
        <v>44</v>
      </c>
      <c r="S46" s="145"/>
      <c r="T46" s="359" t="s">
        <v>18</v>
      </c>
      <c r="U46" s="360"/>
      <c r="V46" s="361" t="s">
        <v>27</v>
      </c>
      <c r="W46" s="361"/>
      <c r="X46" s="396" t="s">
        <v>18</v>
      </c>
      <c r="Y46" s="398"/>
      <c r="Z46" s="392"/>
      <c r="AA46" s="110"/>
      <c r="AB46" s="400"/>
      <c r="AC46" s="401"/>
      <c r="AD46" s="369"/>
      <c r="AE46" s="301"/>
      <c r="AF46" s="385"/>
      <c r="AG46" s="386"/>
      <c r="AH46" s="387"/>
    </row>
    <row r="47" spans="1:34" ht="15" customHeight="1" thickBot="1" x14ac:dyDescent="0.35">
      <c r="A47" s="388"/>
      <c r="B47" s="162"/>
      <c r="C47" s="163"/>
      <c r="D47" s="163"/>
      <c r="E47" s="163"/>
      <c r="F47" s="169"/>
      <c r="G47" s="163"/>
      <c r="H47" s="163"/>
      <c r="I47" s="163"/>
      <c r="J47" s="164"/>
      <c r="K47" s="151"/>
      <c r="L47" s="162"/>
      <c r="M47" s="163"/>
      <c r="N47" s="163"/>
      <c r="O47" s="159"/>
      <c r="P47" s="163"/>
      <c r="Q47" s="163"/>
      <c r="R47" s="164"/>
      <c r="S47" s="146"/>
      <c r="T47" s="378"/>
      <c r="U47" s="379"/>
      <c r="V47" s="380"/>
      <c r="W47" s="381"/>
      <c r="X47" s="393"/>
      <c r="Y47" s="394"/>
      <c r="Z47" s="381"/>
      <c r="AA47" s="110"/>
      <c r="AB47" s="371"/>
      <c r="AC47" s="372"/>
      <c r="AD47" s="371"/>
      <c r="AE47" s="303"/>
      <c r="AF47" s="302"/>
      <c r="AG47" s="377"/>
      <c r="AH47" s="303"/>
    </row>
    <row r="48" spans="1:34" ht="15" customHeight="1" x14ac:dyDescent="0.3">
      <c r="A48" s="109" t="s">
        <v>601</v>
      </c>
      <c r="B48" s="162" t="s">
        <v>27</v>
      </c>
      <c r="C48" s="163" t="s">
        <v>41</v>
      </c>
      <c r="D48" s="163" t="s">
        <v>55</v>
      </c>
      <c r="E48" s="163" t="s">
        <v>10</v>
      </c>
      <c r="F48" s="159"/>
      <c r="G48" s="163" t="s">
        <v>39</v>
      </c>
      <c r="H48" s="163" t="s">
        <v>38</v>
      </c>
      <c r="I48" s="163" t="s">
        <v>20</v>
      </c>
      <c r="J48" s="164" t="s">
        <v>15</v>
      </c>
      <c r="K48" s="145"/>
      <c r="L48" s="162" t="s">
        <v>12</v>
      </c>
      <c r="M48" s="163" t="s">
        <v>54</v>
      </c>
      <c r="N48" s="163" t="s">
        <v>57</v>
      </c>
      <c r="O48" s="159"/>
      <c r="P48" s="163" t="s">
        <v>11</v>
      </c>
      <c r="Q48" s="163" t="s">
        <v>18</v>
      </c>
      <c r="R48" s="164" t="s">
        <v>42</v>
      </c>
      <c r="S48" s="145"/>
      <c r="T48" s="364" t="s">
        <v>10</v>
      </c>
      <c r="U48" s="365"/>
      <c r="V48" s="366" t="s">
        <v>38</v>
      </c>
      <c r="W48" s="367"/>
      <c r="X48" s="364" t="s">
        <v>27</v>
      </c>
      <c r="Y48" s="368"/>
      <c r="Z48" s="367"/>
      <c r="AA48" s="110"/>
      <c r="AB48" s="369"/>
      <c r="AC48" s="370"/>
      <c r="AD48" s="369"/>
      <c r="AE48" s="301"/>
      <c r="AF48" s="385"/>
      <c r="AG48" s="386"/>
      <c r="AH48" s="387"/>
    </row>
    <row r="49" spans="1:34" ht="15" customHeight="1" thickBot="1" x14ac:dyDescent="0.35">
      <c r="A49" s="107"/>
      <c r="B49" s="162"/>
      <c r="C49" s="163"/>
      <c r="D49" s="163"/>
      <c r="E49" s="163"/>
      <c r="F49" s="169"/>
      <c r="G49" s="163"/>
      <c r="H49" s="163"/>
      <c r="I49" s="163"/>
      <c r="J49" s="164"/>
      <c r="K49" s="151"/>
      <c r="L49" s="162"/>
      <c r="M49" s="163"/>
      <c r="N49" s="163"/>
      <c r="O49" s="159"/>
      <c r="P49" s="163"/>
      <c r="Q49" s="163"/>
      <c r="R49" s="164"/>
      <c r="S49" s="146"/>
      <c r="T49" s="378"/>
      <c r="U49" s="379"/>
      <c r="V49" s="380"/>
      <c r="W49" s="381"/>
      <c r="X49" s="393"/>
      <c r="Y49" s="394"/>
      <c r="Z49" s="381"/>
      <c r="AB49" s="371"/>
      <c r="AC49" s="372"/>
      <c r="AD49" s="371"/>
      <c r="AE49" s="303"/>
      <c r="AF49" s="302"/>
      <c r="AG49" s="377"/>
      <c r="AH49" s="303"/>
    </row>
    <row r="50" spans="1:34" ht="15" customHeight="1" x14ac:dyDescent="0.3">
      <c r="A50" s="101" t="s">
        <v>606</v>
      </c>
      <c r="B50" s="170" t="s">
        <v>27</v>
      </c>
      <c r="C50" s="169" t="s">
        <v>41</v>
      </c>
      <c r="D50" s="169" t="s">
        <v>55</v>
      </c>
      <c r="E50" s="169" t="s">
        <v>12</v>
      </c>
      <c r="F50" s="159"/>
      <c r="G50" s="169" t="s">
        <v>39</v>
      </c>
      <c r="H50" s="169" t="s">
        <v>9</v>
      </c>
      <c r="I50" s="169" t="s">
        <v>50</v>
      </c>
      <c r="J50" s="171" t="s">
        <v>18</v>
      </c>
      <c r="K50" s="161"/>
      <c r="L50" s="170" t="s">
        <v>10</v>
      </c>
      <c r="M50" s="169" t="s">
        <v>54</v>
      </c>
      <c r="N50" s="169" t="s">
        <v>57</v>
      </c>
      <c r="O50" s="159"/>
      <c r="P50" s="169" t="s">
        <v>38</v>
      </c>
      <c r="Q50" s="169" t="s">
        <v>11</v>
      </c>
      <c r="R50" s="171" t="s">
        <v>15</v>
      </c>
      <c r="S50" s="161"/>
      <c r="T50" s="396" t="s">
        <v>41</v>
      </c>
      <c r="U50" s="397"/>
      <c r="V50" s="391" t="s">
        <v>39</v>
      </c>
      <c r="W50" s="392"/>
      <c r="X50" s="396" t="s">
        <v>41</v>
      </c>
      <c r="Y50" s="398"/>
      <c r="Z50" s="392"/>
      <c r="AA50" s="100"/>
      <c r="AB50" s="400"/>
      <c r="AC50" s="401"/>
      <c r="AD50" s="369"/>
      <c r="AE50" s="301"/>
      <c r="AF50" s="385"/>
      <c r="AG50" s="386"/>
      <c r="AH50" s="387"/>
    </row>
    <row r="51" spans="1:34" ht="15" customHeight="1" thickBot="1" x14ac:dyDescent="0.35">
      <c r="A51" s="112"/>
      <c r="B51" s="162"/>
      <c r="C51" s="163"/>
      <c r="D51" s="163"/>
      <c r="E51" s="163"/>
      <c r="F51" s="159"/>
      <c r="G51" s="163"/>
      <c r="H51" s="163"/>
      <c r="I51" s="163"/>
      <c r="J51" s="164"/>
      <c r="K51" s="161"/>
      <c r="L51" s="162"/>
      <c r="M51" s="163"/>
      <c r="N51" s="163"/>
      <c r="O51" s="159"/>
      <c r="P51" s="163"/>
      <c r="Q51" s="163"/>
      <c r="R51" s="164"/>
      <c r="S51" s="161"/>
      <c r="T51" s="378"/>
      <c r="U51" s="379"/>
      <c r="V51" s="380"/>
      <c r="W51" s="381"/>
      <c r="X51" s="378"/>
      <c r="Y51" s="382"/>
      <c r="Z51" s="383"/>
      <c r="AA51" s="100"/>
      <c r="AB51" s="371"/>
      <c r="AC51" s="372"/>
      <c r="AD51" s="371"/>
      <c r="AE51" s="303"/>
      <c r="AF51" s="302"/>
      <c r="AG51" s="377"/>
      <c r="AH51" s="303"/>
    </row>
    <row r="52" spans="1:34" ht="15" customHeight="1" x14ac:dyDescent="0.3">
      <c r="A52" s="113" t="s">
        <v>608</v>
      </c>
      <c r="B52" s="162" t="s">
        <v>27</v>
      </c>
      <c r="C52" s="163" t="s">
        <v>41</v>
      </c>
      <c r="D52" s="163" t="s">
        <v>55</v>
      </c>
      <c r="E52" s="163" t="s">
        <v>57</v>
      </c>
      <c r="F52" s="159"/>
      <c r="G52" s="163" t="s">
        <v>39</v>
      </c>
      <c r="H52" s="163" t="s">
        <v>9</v>
      </c>
      <c r="I52" s="163" t="s">
        <v>11</v>
      </c>
      <c r="J52" s="164" t="s">
        <v>15</v>
      </c>
      <c r="K52" s="161"/>
      <c r="L52" s="162" t="s">
        <v>10</v>
      </c>
      <c r="M52" s="163" t="s">
        <v>12</v>
      </c>
      <c r="N52" s="163" t="s">
        <v>40</v>
      </c>
      <c r="O52" s="159"/>
      <c r="P52" s="163" t="s">
        <v>38</v>
      </c>
      <c r="Q52" s="163" t="s">
        <v>18</v>
      </c>
      <c r="R52" s="164" t="s">
        <v>43</v>
      </c>
      <c r="S52" s="161"/>
      <c r="T52" s="396" t="s">
        <v>27</v>
      </c>
      <c r="U52" s="397"/>
      <c r="V52" s="391" t="s">
        <v>38</v>
      </c>
      <c r="W52" s="392"/>
      <c r="X52" s="396" t="s">
        <v>27</v>
      </c>
      <c r="Y52" s="398"/>
      <c r="Z52" s="392"/>
      <c r="AA52" s="110"/>
      <c r="AB52" s="369"/>
      <c r="AC52" s="370"/>
      <c r="AD52" s="369"/>
      <c r="AE52" s="301"/>
      <c r="AF52" s="385"/>
      <c r="AG52" s="386"/>
      <c r="AH52" s="387"/>
    </row>
    <row r="53" spans="1:34" ht="15" customHeight="1" thickBot="1" x14ac:dyDescent="0.35">
      <c r="A53" s="107"/>
      <c r="B53" s="162"/>
      <c r="C53" s="163"/>
      <c r="D53" s="163"/>
      <c r="E53" s="163"/>
      <c r="F53" s="159"/>
      <c r="G53" s="163"/>
      <c r="H53" s="163"/>
      <c r="I53" s="163"/>
      <c r="J53" s="164"/>
      <c r="K53" s="161"/>
      <c r="L53" s="162"/>
      <c r="M53" s="163"/>
      <c r="N53" s="163"/>
      <c r="O53" s="159"/>
      <c r="P53" s="163"/>
      <c r="Q53" s="163"/>
      <c r="R53" s="164"/>
      <c r="S53" s="161"/>
      <c r="T53" s="378"/>
      <c r="U53" s="379"/>
      <c r="V53" s="380"/>
      <c r="W53" s="381"/>
      <c r="X53" s="393"/>
      <c r="Y53" s="394"/>
      <c r="Z53" s="381"/>
      <c r="AA53" s="110"/>
      <c r="AB53" s="371"/>
      <c r="AC53" s="372"/>
      <c r="AD53" s="371"/>
      <c r="AE53" s="303"/>
      <c r="AF53" s="302"/>
      <c r="AG53" s="377"/>
      <c r="AH53" s="303"/>
    </row>
    <row r="54" spans="1:34" ht="15" customHeight="1" x14ac:dyDescent="0.3">
      <c r="A54" s="115" t="s">
        <v>613</v>
      </c>
      <c r="B54" s="162" t="s">
        <v>27</v>
      </c>
      <c r="C54" s="163" t="s">
        <v>41</v>
      </c>
      <c r="D54" s="163" t="s">
        <v>55</v>
      </c>
      <c r="E54" s="163" t="s">
        <v>10</v>
      </c>
      <c r="F54" s="159"/>
      <c r="G54" s="163" t="s">
        <v>43</v>
      </c>
      <c r="H54" s="163" t="s">
        <v>38</v>
      </c>
      <c r="I54" s="163" t="s">
        <v>50</v>
      </c>
      <c r="J54" s="164" t="s">
        <v>15</v>
      </c>
      <c r="K54" s="161"/>
      <c r="L54" s="162" t="s">
        <v>40</v>
      </c>
      <c r="M54" s="163" t="s">
        <v>57</v>
      </c>
      <c r="N54" s="163" t="s">
        <v>45</v>
      </c>
      <c r="O54" s="159"/>
      <c r="P54" s="163" t="s">
        <v>39</v>
      </c>
      <c r="Q54" s="163" t="s">
        <v>9</v>
      </c>
      <c r="R54" s="164" t="s">
        <v>18</v>
      </c>
      <c r="S54" s="161"/>
      <c r="T54" s="396" t="s">
        <v>41</v>
      </c>
      <c r="U54" s="397"/>
      <c r="V54" s="391" t="s">
        <v>38</v>
      </c>
      <c r="W54" s="392"/>
      <c r="X54" s="396" t="s">
        <v>41</v>
      </c>
      <c r="Y54" s="398"/>
      <c r="Z54" s="392"/>
      <c r="AA54" s="110"/>
      <c r="AB54" s="400"/>
      <c r="AC54" s="401"/>
      <c r="AD54" s="369"/>
      <c r="AE54" s="301"/>
      <c r="AF54" s="385"/>
      <c r="AG54" s="386"/>
      <c r="AH54" s="387"/>
    </row>
    <row r="55" spans="1:34" ht="15" customHeight="1" thickBot="1" x14ac:dyDescent="0.35">
      <c r="A55" s="112"/>
      <c r="B55" s="162"/>
      <c r="C55" s="163"/>
      <c r="D55" s="163"/>
      <c r="E55" s="163"/>
      <c r="F55" s="159"/>
      <c r="G55" s="163"/>
      <c r="H55" s="163"/>
      <c r="I55" s="163"/>
      <c r="J55" s="164"/>
      <c r="K55" s="161"/>
      <c r="L55" s="162"/>
      <c r="M55" s="163"/>
      <c r="N55" s="163"/>
      <c r="O55" s="159"/>
      <c r="P55" s="163"/>
      <c r="Q55" s="163"/>
      <c r="R55" s="164"/>
      <c r="S55" s="161"/>
      <c r="T55" s="378"/>
      <c r="U55" s="379"/>
      <c r="V55" s="380"/>
      <c r="W55" s="381"/>
      <c r="X55" s="378"/>
      <c r="Y55" s="382"/>
      <c r="Z55" s="383"/>
      <c r="AA55" s="110"/>
      <c r="AB55" s="371"/>
      <c r="AC55" s="372"/>
      <c r="AD55" s="371"/>
      <c r="AE55" s="303"/>
      <c r="AF55" s="302"/>
      <c r="AG55" s="377"/>
      <c r="AH55" s="303"/>
    </row>
    <row r="56" spans="1:34" ht="15" customHeight="1" x14ac:dyDescent="0.3">
      <c r="A56" s="113" t="s">
        <v>573</v>
      </c>
      <c r="B56" s="162" t="s">
        <v>45</v>
      </c>
      <c r="C56" s="163" t="s">
        <v>41</v>
      </c>
      <c r="D56" s="163" t="s">
        <v>55</v>
      </c>
      <c r="E56" s="163" t="s">
        <v>10</v>
      </c>
      <c r="F56" s="159"/>
      <c r="G56" s="163" t="s">
        <v>39</v>
      </c>
      <c r="H56" s="163" t="s">
        <v>44</v>
      </c>
      <c r="I56" s="163" t="s">
        <v>11</v>
      </c>
      <c r="J56" s="164" t="s">
        <v>42</v>
      </c>
      <c r="K56" s="161"/>
      <c r="L56" s="162" t="s">
        <v>27</v>
      </c>
      <c r="M56" s="163" t="s">
        <v>46</v>
      </c>
      <c r="N56" s="163" t="s">
        <v>57</v>
      </c>
      <c r="O56" s="159"/>
      <c r="P56" s="163" t="s">
        <v>49</v>
      </c>
      <c r="Q56" s="163" t="s">
        <v>15</v>
      </c>
      <c r="R56" s="164" t="s">
        <v>9</v>
      </c>
      <c r="S56" s="161"/>
      <c r="T56" s="396" t="s">
        <v>10</v>
      </c>
      <c r="U56" s="397"/>
      <c r="V56" s="391" t="s">
        <v>39</v>
      </c>
      <c r="W56" s="392"/>
      <c r="X56" s="396" t="s">
        <v>10</v>
      </c>
      <c r="Y56" s="398"/>
      <c r="Z56" s="392"/>
      <c r="AA56" s="110"/>
      <c r="AB56" s="369"/>
      <c r="AC56" s="370"/>
      <c r="AD56" s="369"/>
      <c r="AE56" s="301"/>
      <c r="AF56" s="385"/>
      <c r="AG56" s="386"/>
      <c r="AH56" s="387"/>
    </row>
    <row r="57" spans="1:34" ht="15" customHeight="1" thickBot="1" x14ac:dyDescent="0.35">
      <c r="A57" s="107"/>
      <c r="B57" s="162"/>
      <c r="C57" s="163"/>
      <c r="D57" s="163"/>
      <c r="E57" s="163"/>
      <c r="F57" s="159"/>
      <c r="G57" s="163"/>
      <c r="H57" s="163"/>
      <c r="I57" s="163"/>
      <c r="J57" s="164"/>
      <c r="K57" s="161"/>
      <c r="L57" s="162"/>
      <c r="M57" s="163"/>
      <c r="N57" s="163"/>
      <c r="O57" s="159"/>
      <c r="P57" s="163"/>
      <c r="Q57" s="163"/>
      <c r="R57" s="164"/>
      <c r="S57" s="161"/>
      <c r="T57" s="378"/>
      <c r="U57" s="379"/>
      <c r="V57" s="380"/>
      <c r="W57" s="381"/>
      <c r="X57" s="378"/>
      <c r="Y57" s="382"/>
      <c r="Z57" s="383"/>
      <c r="AA57" s="110"/>
      <c r="AB57" s="371"/>
      <c r="AC57" s="372"/>
      <c r="AD57" s="371"/>
      <c r="AE57" s="303"/>
      <c r="AF57" s="302"/>
      <c r="AG57" s="377"/>
      <c r="AH57" s="303"/>
    </row>
    <row r="58" spans="1:34" ht="15" customHeight="1" x14ac:dyDescent="0.3">
      <c r="A58" s="402" t="s">
        <v>26</v>
      </c>
      <c r="B58" s="162" t="s">
        <v>27</v>
      </c>
      <c r="C58" s="163" t="s">
        <v>41</v>
      </c>
      <c r="D58" s="163" t="s">
        <v>55</v>
      </c>
      <c r="E58" s="163" t="s">
        <v>10</v>
      </c>
      <c r="F58" s="159"/>
      <c r="G58" s="163" t="s">
        <v>39</v>
      </c>
      <c r="H58" s="163" t="s">
        <v>38</v>
      </c>
      <c r="I58" s="163" t="s">
        <v>11</v>
      </c>
      <c r="J58" s="164" t="s">
        <v>42</v>
      </c>
      <c r="K58" s="161"/>
      <c r="L58" s="162" t="s">
        <v>45</v>
      </c>
      <c r="M58" s="163" t="s">
        <v>57</v>
      </c>
      <c r="N58" s="163" t="s">
        <v>56</v>
      </c>
      <c r="O58" s="159"/>
      <c r="P58" s="163" t="s">
        <v>44</v>
      </c>
      <c r="Q58" s="163" t="s">
        <v>15</v>
      </c>
      <c r="R58" s="164" t="s">
        <v>49</v>
      </c>
      <c r="S58" s="161"/>
      <c r="T58" s="396" t="s">
        <v>10</v>
      </c>
      <c r="U58" s="397"/>
      <c r="V58" s="391" t="s">
        <v>39</v>
      </c>
      <c r="W58" s="392"/>
      <c r="X58" s="396" t="s">
        <v>10</v>
      </c>
      <c r="Y58" s="398"/>
      <c r="Z58" s="392"/>
      <c r="AA58" s="110"/>
      <c r="AB58" s="400"/>
      <c r="AC58" s="401"/>
      <c r="AD58" s="369"/>
      <c r="AE58" s="301"/>
      <c r="AF58" s="385"/>
      <c r="AG58" s="386"/>
      <c r="AH58" s="387"/>
    </row>
    <row r="59" spans="1:34" ht="15" customHeight="1" thickBot="1" x14ac:dyDescent="0.35">
      <c r="A59" s="388"/>
      <c r="B59" s="162"/>
      <c r="C59" s="163"/>
      <c r="D59" s="163"/>
      <c r="E59" s="163"/>
      <c r="F59" s="159"/>
      <c r="G59" s="163"/>
      <c r="H59" s="163"/>
      <c r="I59" s="163"/>
      <c r="J59" s="164"/>
      <c r="K59" s="161"/>
      <c r="L59" s="162"/>
      <c r="M59" s="163"/>
      <c r="N59" s="163"/>
      <c r="O59" s="159"/>
      <c r="P59" s="163"/>
      <c r="Q59" s="163"/>
      <c r="R59" s="164"/>
      <c r="S59" s="161"/>
      <c r="T59" s="378"/>
      <c r="U59" s="379"/>
      <c r="V59" s="380"/>
      <c r="W59" s="381"/>
      <c r="X59" s="378"/>
      <c r="Y59" s="382"/>
      <c r="Z59" s="383"/>
      <c r="AA59" s="110"/>
      <c r="AB59" s="371"/>
      <c r="AC59" s="372"/>
      <c r="AD59" s="371"/>
      <c r="AE59" s="303"/>
      <c r="AF59" s="302"/>
      <c r="AG59" s="377"/>
      <c r="AH59" s="303"/>
    </row>
    <row r="60" spans="1:34" ht="15" customHeight="1" x14ac:dyDescent="0.3">
      <c r="A60" s="395" t="s">
        <v>630</v>
      </c>
      <c r="B60" s="162" t="s">
        <v>27</v>
      </c>
      <c r="C60" s="163" t="s">
        <v>40</v>
      </c>
      <c r="D60" s="163" t="s">
        <v>55</v>
      </c>
      <c r="E60" s="163" t="s">
        <v>10</v>
      </c>
      <c r="F60" s="159"/>
      <c r="G60" s="163" t="s">
        <v>39</v>
      </c>
      <c r="H60" s="163" t="s">
        <v>38</v>
      </c>
      <c r="I60" s="163" t="s">
        <v>50</v>
      </c>
      <c r="J60" s="164" t="s">
        <v>42</v>
      </c>
      <c r="K60" s="161"/>
      <c r="L60" s="162" t="s">
        <v>54</v>
      </c>
      <c r="M60" s="163" t="s">
        <v>46</v>
      </c>
      <c r="N60" s="163" t="s">
        <v>12</v>
      </c>
      <c r="O60" s="159"/>
      <c r="P60" s="163" t="s">
        <v>43</v>
      </c>
      <c r="Q60" s="163" t="s">
        <v>9</v>
      </c>
      <c r="R60" s="164" t="s">
        <v>15</v>
      </c>
      <c r="S60" s="161"/>
      <c r="T60" s="396" t="s">
        <v>27</v>
      </c>
      <c r="U60" s="397"/>
      <c r="V60" s="391" t="s">
        <v>39</v>
      </c>
      <c r="W60" s="392"/>
      <c r="X60" s="396" t="s">
        <v>27</v>
      </c>
      <c r="Y60" s="398"/>
      <c r="Z60" s="392"/>
      <c r="AA60" s="110"/>
      <c r="AB60" s="369"/>
      <c r="AC60" s="370"/>
      <c r="AD60" s="369"/>
      <c r="AE60" s="301"/>
      <c r="AF60" s="385"/>
      <c r="AG60" s="386"/>
      <c r="AH60" s="387"/>
    </row>
    <row r="61" spans="1:34" ht="15" customHeight="1" thickBot="1" x14ac:dyDescent="0.35">
      <c r="A61" s="358"/>
      <c r="B61" s="162"/>
      <c r="C61" s="163"/>
      <c r="D61" s="163"/>
      <c r="E61" s="163"/>
      <c r="F61" s="159"/>
      <c r="G61" s="163"/>
      <c r="H61" s="163"/>
      <c r="I61" s="163"/>
      <c r="J61" s="164"/>
      <c r="K61" s="161"/>
      <c r="L61" s="162"/>
      <c r="M61" s="163"/>
      <c r="N61" s="163"/>
      <c r="O61" s="159"/>
      <c r="P61" s="163"/>
      <c r="Q61" s="163"/>
      <c r="R61" s="164"/>
      <c r="S61" s="161"/>
      <c r="T61" s="378"/>
      <c r="U61" s="379"/>
      <c r="V61" s="380"/>
      <c r="W61" s="381"/>
      <c r="X61" s="393"/>
      <c r="Y61" s="394"/>
      <c r="Z61" s="381"/>
      <c r="AA61" s="110"/>
      <c r="AB61" s="371"/>
      <c r="AC61" s="372"/>
      <c r="AD61" s="371"/>
      <c r="AE61" s="303"/>
      <c r="AF61" s="302"/>
      <c r="AG61" s="377"/>
      <c r="AH61" s="303"/>
    </row>
    <row r="62" spans="1:34" ht="15" customHeight="1" x14ac:dyDescent="0.3">
      <c r="A62" s="395" t="s">
        <v>633</v>
      </c>
      <c r="B62" s="162" t="s">
        <v>27</v>
      </c>
      <c r="C62" s="163" t="s">
        <v>41</v>
      </c>
      <c r="D62" s="163" t="s">
        <v>51</v>
      </c>
      <c r="E62" s="163" t="s">
        <v>57</v>
      </c>
      <c r="F62" s="159"/>
      <c r="G62" s="163" t="s">
        <v>39</v>
      </c>
      <c r="H62" s="163" t="s">
        <v>9</v>
      </c>
      <c r="I62" s="163" t="s">
        <v>50</v>
      </c>
      <c r="J62" s="164" t="s">
        <v>48</v>
      </c>
      <c r="K62" s="161"/>
      <c r="L62" s="162" t="s">
        <v>10</v>
      </c>
      <c r="M62" s="163" t="s">
        <v>19</v>
      </c>
      <c r="N62" s="163" t="s">
        <v>55</v>
      </c>
      <c r="O62" s="159"/>
      <c r="P62" s="163" t="s">
        <v>38</v>
      </c>
      <c r="Q62" s="163" t="s">
        <v>15</v>
      </c>
      <c r="R62" s="164" t="s">
        <v>11</v>
      </c>
      <c r="S62" s="161"/>
      <c r="T62" s="396" t="s">
        <v>41</v>
      </c>
      <c r="U62" s="397"/>
      <c r="V62" s="391" t="s">
        <v>39</v>
      </c>
      <c r="W62" s="392"/>
      <c r="X62" s="396" t="s">
        <v>41</v>
      </c>
      <c r="Y62" s="398"/>
      <c r="Z62" s="392"/>
      <c r="AA62" s="110"/>
      <c r="AB62" s="400"/>
      <c r="AC62" s="401"/>
      <c r="AD62" s="369"/>
      <c r="AE62" s="301"/>
      <c r="AF62" s="385"/>
      <c r="AG62" s="386"/>
      <c r="AH62" s="387"/>
    </row>
    <row r="63" spans="1:34" ht="15" customHeight="1" thickBot="1" x14ac:dyDescent="0.35">
      <c r="A63" s="358"/>
      <c r="B63" s="162"/>
      <c r="C63" s="163"/>
      <c r="D63" s="163"/>
      <c r="E63" s="163"/>
      <c r="F63" s="159"/>
      <c r="G63" s="163"/>
      <c r="H63" s="163"/>
      <c r="I63" s="163"/>
      <c r="J63" s="164"/>
      <c r="K63" s="161"/>
      <c r="L63" s="162"/>
      <c r="M63" s="163"/>
      <c r="N63" s="163"/>
      <c r="O63" s="159"/>
      <c r="P63" s="163"/>
      <c r="Q63" s="163"/>
      <c r="R63" s="164"/>
      <c r="S63" s="161"/>
      <c r="T63" s="378"/>
      <c r="U63" s="379"/>
      <c r="V63" s="380"/>
      <c r="W63" s="381"/>
      <c r="X63" s="378"/>
      <c r="Y63" s="382"/>
      <c r="Z63" s="383"/>
      <c r="AA63" s="110"/>
      <c r="AB63" s="371"/>
      <c r="AC63" s="372"/>
      <c r="AD63" s="371"/>
      <c r="AE63" s="303"/>
      <c r="AF63" s="302"/>
      <c r="AG63" s="377"/>
      <c r="AH63" s="303"/>
    </row>
    <row r="64" spans="1:34" ht="15" customHeight="1" x14ac:dyDescent="0.3">
      <c r="A64" s="402" t="s">
        <v>634</v>
      </c>
      <c r="B64" s="162" t="s">
        <v>45</v>
      </c>
      <c r="C64" s="163" t="s">
        <v>41</v>
      </c>
      <c r="D64" s="163" t="s">
        <v>55</v>
      </c>
      <c r="E64" s="163" t="s">
        <v>10</v>
      </c>
      <c r="F64" s="159"/>
      <c r="G64" s="163" t="s">
        <v>39</v>
      </c>
      <c r="H64" s="163" t="s">
        <v>44</v>
      </c>
      <c r="I64" s="163" t="s">
        <v>50</v>
      </c>
      <c r="J64" s="164" t="s">
        <v>15</v>
      </c>
      <c r="K64" s="161"/>
      <c r="L64" s="162" t="s">
        <v>27</v>
      </c>
      <c r="M64" s="163" t="s">
        <v>54</v>
      </c>
      <c r="N64" s="163" t="s">
        <v>57</v>
      </c>
      <c r="O64" s="159"/>
      <c r="P64" s="163" t="s">
        <v>9</v>
      </c>
      <c r="Q64" s="163" t="s">
        <v>11</v>
      </c>
      <c r="R64" s="164" t="s">
        <v>42</v>
      </c>
      <c r="S64" s="161"/>
      <c r="T64" s="396" t="s">
        <v>39</v>
      </c>
      <c r="U64" s="397"/>
      <c r="V64" s="391" t="s">
        <v>41</v>
      </c>
      <c r="W64" s="392"/>
      <c r="X64" s="396" t="s">
        <v>39</v>
      </c>
      <c r="Y64" s="398"/>
      <c r="Z64" s="392"/>
      <c r="AA64" s="110"/>
      <c r="AB64" s="369"/>
      <c r="AC64" s="370"/>
      <c r="AD64" s="369"/>
      <c r="AE64" s="301"/>
      <c r="AF64" s="385"/>
      <c r="AG64" s="386"/>
      <c r="AH64" s="387"/>
    </row>
    <row r="65" spans="1:34" ht="15" customHeight="1" thickBot="1" x14ac:dyDescent="0.35">
      <c r="A65" s="388"/>
      <c r="B65" s="162"/>
      <c r="C65" s="163"/>
      <c r="D65" s="163"/>
      <c r="E65" s="163"/>
      <c r="F65" s="159"/>
      <c r="G65" s="163"/>
      <c r="H65" s="163"/>
      <c r="I65" s="163"/>
      <c r="J65" s="164"/>
      <c r="K65" s="161"/>
      <c r="L65" s="162"/>
      <c r="M65" s="163"/>
      <c r="N65" s="163"/>
      <c r="O65" s="159"/>
      <c r="P65" s="163"/>
      <c r="Q65" s="163"/>
      <c r="R65" s="164"/>
      <c r="S65" s="161"/>
      <c r="T65" s="378"/>
      <c r="U65" s="379"/>
      <c r="V65" s="380"/>
      <c r="W65" s="381"/>
      <c r="X65" s="393"/>
      <c r="Y65" s="394"/>
      <c r="Z65" s="381"/>
      <c r="AA65" s="110"/>
      <c r="AB65" s="371"/>
      <c r="AC65" s="372"/>
      <c r="AD65" s="371"/>
      <c r="AE65" s="303"/>
      <c r="AF65" s="302"/>
      <c r="AG65" s="377"/>
      <c r="AH65" s="303"/>
    </row>
    <row r="66" spans="1:34" ht="15" customHeight="1" x14ac:dyDescent="0.3">
      <c r="A66" s="402" t="s">
        <v>636</v>
      </c>
      <c r="B66" s="162" t="s">
        <v>27</v>
      </c>
      <c r="C66" s="163" t="s">
        <v>40</v>
      </c>
      <c r="D66" s="163" t="s">
        <v>55</v>
      </c>
      <c r="E66" s="163" t="s">
        <v>10</v>
      </c>
      <c r="F66" s="159"/>
      <c r="G66" s="163" t="s">
        <v>39</v>
      </c>
      <c r="H66" s="163" t="s">
        <v>9</v>
      </c>
      <c r="I66" s="163" t="s">
        <v>11</v>
      </c>
      <c r="J66" s="164" t="s">
        <v>42</v>
      </c>
      <c r="K66" s="161"/>
      <c r="L66" s="162" t="s">
        <v>12</v>
      </c>
      <c r="M66" s="163" t="s">
        <v>54</v>
      </c>
      <c r="N66" s="163" t="s">
        <v>56</v>
      </c>
      <c r="O66" s="159"/>
      <c r="P66" s="163" t="s">
        <v>43</v>
      </c>
      <c r="Q66" s="163" t="s">
        <v>15</v>
      </c>
      <c r="R66" s="164" t="s">
        <v>9</v>
      </c>
      <c r="S66" s="161"/>
      <c r="T66" s="396" t="s">
        <v>27</v>
      </c>
      <c r="U66" s="397"/>
      <c r="V66" s="391" t="s">
        <v>39</v>
      </c>
      <c r="W66" s="392"/>
      <c r="X66" s="396" t="s">
        <v>27</v>
      </c>
      <c r="Y66" s="398"/>
      <c r="Z66" s="392"/>
      <c r="AA66" s="110"/>
      <c r="AB66" s="400"/>
      <c r="AC66" s="401"/>
      <c r="AD66" s="369"/>
      <c r="AE66" s="301"/>
      <c r="AF66" s="385"/>
      <c r="AG66" s="386"/>
      <c r="AH66" s="387"/>
    </row>
    <row r="67" spans="1:34" ht="15" customHeight="1" x14ac:dyDescent="0.3">
      <c r="A67" s="388"/>
      <c r="B67" s="162"/>
      <c r="C67" s="163"/>
      <c r="D67" s="163"/>
      <c r="E67" s="163"/>
      <c r="F67" s="159"/>
      <c r="G67" s="163"/>
      <c r="H67" s="163"/>
      <c r="I67" s="163"/>
      <c r="J67" s="164"/>
      <c r="K67" s="161"/>
      <c r="L67" s="162"/>
      <c r="M67" s="163"/>
      <c r="N67" s="163"/>
      <c r="O67" s="159"/>
      <c r="P67" s="163"/>
      <c r="Q67" s="163"/>
      <c r="R67" s="164"/>
      <c r="S67" s="161"/>
      <c r="T67" s="378"/>
      <c r="U67" s="379"/>
      <c r="V67" s="380"/>
      <c r="W67" s="381"/>
      <c r="X67" s="378"/>
      <c r="Y67" s="382"/>
      <c r="Z67" s="383"/>
      <c r="AA67" s="110"/>
      <c r="AB67" s="371"/>
      <c r="AC67" s="372"/>
      <c r="AD67" s="371"/>
      <c r="AE67" s="303"/>
      <c r="AF67" s="302"/>
      <c r="AG67" s="377"/>
      <c r="AH67" s="303"/>
    </row>
  </sheetData>
  <mergeCells count="312">
    <mergeCell ref="B36:E36"/>
    <mergeCell ref="G36:J36"/>
    <mergeCell ref="L36:N37"/>
    <mergeCell ref="P36:R37"/>
    <mergeCell ref="T36:U37"/>
    <mergeCell ref="V36:W37"/>
    <mergeCell ref="AF66:AH67"/>
    <mergeCell ref="T67:U67"/>
    <mergeCell ref="V67:W67"/>
    <mergeCell ref="X67:Z67"/>
    <mergeCell ref="AD66:AE67"/>
    <mergeCell ref="AD64:AE65"/>
    <mergeCell ref="AF64:AH65"/>
    <mergeCell ref="AF62:AH63"/>
    <mergeCell ref="X62:Z62"/>
    <mergeCell ref="AB62:AC63"/>
    <mergeCell ref="AD62:AE63"/>
    <mergeCell ref="AF60:AH61"/>
    <mergeCell ref="T61:U61"/>
    <mergeCell ref="V61:W61"/>
    <mergeCell ref="X61:Z61"/>
    <mergeCell ref="T57:U57"/>
    <mergeCell ref="T55:U55"/>
    <mergeCell ref="V55:W55"/>
    <mergeCell ref="A35:A37"/>
    <mergeCell ref="B35:J35"/>
    <mergeCell ref="L35:R35"/>
    <mergeCell ref="X35:Z37"/>
    <mergeCell ref="AB35:AC37"/>
    <mergeCell ref="A66:A67"/>
    <mergeCell ref="T66:U66"/>
    <mergeCell ref="V66:W66"/>
    <mergeCell ref="X66:Z66"/>
    <mergeCell ref="AB66:AC67"/>
    <mergeCell ref="T65:U65"/>
    <mergeCell ref="V65:W65"/>
    <mergeCell ref="X65:Z65"/>
    <mergeCell ref="T63:U63"/>
    <mergeCell ref="V63:W63"/>
    <mergeCell ref="X63:Z63"/>
    <mergeCell ref="A64:A65"/>
    <mergeCell ref="T64:U64"/>
    <mergeCell ref="V64:W64"/>
    <mergeCell ref="X64:Z64"/>
    <mergeCell ref="AB64:AC65"/>
    <mergeCell ref="A62:A63"/>
    <mergeCell ref="T62:U62"/>
    <mergeCell ref="V62:W62"/>
    <mergeCell ref="A60:A61"/>
    <mergeCell ref="T60:U60"/>
    <mergeCell ref="V60:W60"/>
    <mergeCell ref="X60:Z60"/>
    <mergeCell ref="AB60:AC61"/>
    <mergeCell ref="AD60:AE61"/>
    <mergeCell ref="AD58:AE59"/>
    <mergeCell ref="AF58:AH59"/>
    <mergeCell ref="T59:U59"/>
    <mergeCell ref="V59:W59"/>
    <mergeCell ref="X59:Z59"/>
    <mergeCell ref="A58:A59"/>
    <mergeCell ref="T58:U58"/>
    <mergeCell ref="V58:W58"/>
    <mergeCell ref="X58:Z58"/>
    <mergeCell ref="AB58:AC59"/>
    <mergeCell ref="AB56:AC57"/>
    <mergeCell ref="AD56:AE57"/>
    <mergeCell ref="AF56:AH57"/>
    <mergeCell ref="T54:U54"/>
    <mergeCell ref="V54:W54"/>
    <mergeCell ref="X54:Z54"/>
    <mergeCell ref="AB54:AC55"/>
    <mergeCell ref="AD54:AE55"/>
    <mergeCell ref="AF54:AH55"/>
    <mergeCell ref="AF52:AH53"/>
    <mergeCell ref="T53:U53"/>
    <mergeCell ref="V53:W53"/>
    <mergeCell ref="X53:Z53"/>
    <mergeCell ref="V57:W57"/>
    <mergeCell ref="X57:Z57"/>
    <mergeCell ref="AF50:AH51"/>
    <mergeCell ref="T51:U51"/>
    <mergeCell ref="V51:W51"/>
    <mergeCell ref="X51:Z51"/>
    <mergeCell ref="T52:U52"/>
    <mergeCell ref="V52:W52"/>
    <mergeCell ref="X52:Z52"/>
    <mergeCell ref="AB52:AC53"/>
    <mergeCell ref="AD52:AE53"/>
    <mergeCell ref="T50:U50"/>
    <mergeCell ref="V50:W50"/>
    <mergeCell ref="X50:Z50"/>
    <mergeCell ref="AB50:AC51"/>
    <mergeCell ref="AD50:AE51"/>
    <mergeCell ref="X55:Z55"/>
    <mergeCell ref="T56:U56"/>
    <mergeCell ref="V56:W56"/>
    <mergeCell ref="X56:Z56"/>
    <mergeCell ref="A46:A47"/>
    <mergeCell ref="T46:U46"/>
    <mergeCell ref="V46:W46"/>
    <mergeCell ref="X46:Z46"/>
    <mergeCell ref="AB46:AC47"/>
    <mergeCell ref="AD46:AE47"/>
    <mergeCell ref="X49:Z49"/>
    <mergeCell ref="AD44:AE45"/>
    <mergeCell ref="AF44:AH45"/>
    <mergeCell ref="T45:U45"/>
    <mergeCell ref="V45:W45"/>
    <mergeCell ref="X45:Z45"/>
    <mergeCell ref="T48:U48"/>
    <mergeCell ref="V48:W48"/>
    <mergeCell ref="X48:Z48"/>
    <mergeCell ref="AB48:AC49"/>
    <mergeCell ref="AD48:AE49"/>
    <mergeCell ref="AF48:AH49"/>
    <mergeCell ref="T49:U49"/>
    <mergeCell ref="V49:W49"/>
    <mergeCell ref="AF46:AH47"/>
    <mergeCell ref="T47:U47"/>
    <mergeCell ref="V47:W47"/>
    <mergeCell ref="X47:Z47"/>
    <mergeCell ref="AF42:AH43"/>
    <mergeCell ref="T43:U43"/>
    <mergeCell ref="V43:W43"/>
    <mergeCell ref="X43:Z43"/>
    <mergeCell ref="AD42:AE43"/>
    <mergeCell ref="A44:A45"/>
    <mergeCell ref="T44:U44"/>
    <mergeCell ref="V44:W44"/>
    <mergeCell ref="X44:Z44"/>
    <mergeCell ref="AB44:AC45"/>
    <mergeCell ref="A42:A43"/>
    <mergeCell ref="T42:U42"/>
    <mergeCell ref="V42:W42"/>
    <mergeCell ref="X42:Z42"/>
    <mergeCell ref="AB42:AC43"/>
    <mergeCell ref="AF40:AH41"/>
    <mergeCell ref="T41:U41"/>
    <mergeCell ref="V41:W41"/>
    <mergeCell ref="X41:Z41"/>
    <mergeCell ref="A40:A41"/>
    <mergeCell ref="T40:U40"/>
    <mergeCell ref="V40:W40"/>
    <mergeCell ref="X40:Z40"/>
    <mergeCell ref="AB40:AC41"/>
    <mergeCell ref="AD40:AE41"/>
    <mergeCell ref="T32:U32"/>
    <mergeCell ref="V32:W32"/>
    <mergeCell ref="X32:Z32"/>
    <mergeCell ref="AB32:AC33"/>
    <mergeCell ref="AD32:AE33"/>
    <mergeCell ref="AF32:AH33"/>
    <mergeCell ref="AF38:AH39"/>
    <mergeCell ref="T39:U39"/>
    <mergeCell ref="V39:W39"/>
    <mergeCell ref="X39:Z39"/>
    <mergeCell ref="T33:U33"/>
    <mergeCell ref="V33:W33"/>
    <mergeCell ref="X33:Z33"/>
    <mergeCell ref="T38:U38"/>
    <mergeCell ref="V38:W38"/>
    <mergeCell ref="X38:Z38"/>
    <mergeCell ref="AB38:AC39"/>
    <mergeCell ref="AD38:AE39"/>
    <mergeCell ref="AD35:AE37"/>
    <mergeCell ref="AF35:AH37"/>
    <mergeCell ref="T30:U30"/>
    <mergeCell ref="V30:W30"/>
    <mergeCell ref="X30:Z30"/>
    <mergeCell ref="AB30:AC31"/>
    <mergeCell ref="AD30:AE31"/>
    <mergeCell ref="AF30:AH31"/>
    <mergeCell ref="AF28:AH29"/>
    <mergeCell ref="T29:U29"/>
    <mergeCell ref="V29:W29"/>
    <mergeCell ref="X29:Z29"/>
    <mergeCell ref="T31:U31"/>
    <mergeCell ref="V31:W31"/>
    <mergeCell ref="X31:Z31"/>
    <mergeCell ref="AF26:AH27"/>
    <mergeCell ref="T27:U27"/>
    <mergeCell ref="V27:W27"/>
    <mergeCell ref="X27:Z27"/>
    <mergeCell ref="T28:U28"/>
    <mergeCell ref="V28:W28"/>
    <mergeCell ref="X28:Z28"/>
    <mergeCell ref="AB28:AC29"/>
    <mergeCell ref="AD28:AE29"/>
    <mergeCell ref="T26:U26"/>
    <mergeCell ref="V26:W26"/>
    <mergeCell ref="X26:Z26"/>
    <mergeCell ref="AB26:AC27"/>
    <mergeCell ref="AD26:AE27"/>
    <mergeCell ref="T24:U24"/>
    <mergeCell ref="V24:W24"/>
    <mergeCell ref="X24:Z24"/>
    <mergeCell ref="AB24:AC25"/>
    <mergeCell ref="AD24:AE25"/>
    <mergeCell ref="AF24:AH25"/>
    <mergeCell ref="T25:U25"/>
    <mergeCell ref="V25:W25"/>
    <mergeCell ref="A22:A23"/>
    <mergeCell ref="T22:U22"/>
    <mergeCell ref="V22:W22"/>
    <mergeCell ref="X22:Z22"/>
    <mergeCell ref="T23:U23"/>
    <mergeCell ref="V23:W23"/>
    <mergeCell ref="X23:Z23"/>
    <mergeCell ref="X25:Z25"/>
    <mergeCell ref="AD20:AE21"/>
    <mergeCell ref="AF20:AH21"/>
    <mergeCell ref="T21:U21"/>
    <mergeCell ref="V21:W21"/>
    <mergeCell ref="X21:Z21"/>
    <mergeCell ref="AF18:AH19"/>
    <mergeCell ref="T19:U19"/>
    <mergeCell ref="V19:W19"/>
    <mergeCell ref="X19:Z19"/>
    <mergeCell ref="AD18:AE19"/>
    <mergeCell ref="A20:A21"/>
    <mergeCell ref="T20:U20"/>
    <mergeCell ref="V20:W20"/>
    <mergeCell ref="X20:Z20"/>
    <mergeCell ref="AB20:AC21"/>
    <mergeCell ref="A18:A19"/>
    <mergeCell ref="T18:U18"/>
    <mergeCell ref="V18:W18"/>
    <mergeCell ref="X18:Z18"/>
    <mergeCell ref="AB18:AC19"/>
    <mergeCell ref="AF16:AH17"/>
    <mergeCell ref="T17:U17"/>
    <mergeCell ref="V17:W17"/>
    <mergeCell ref="X17:Z17"/>
    <mergeCell ref="A16:A17"/>
    <mergeCell ref="T16:U16"/>
    <mergeCell ref="V16:W16"/>
    <mergeCell ref="X16:Z16"/>
    <mergeCell ref="AB16:AC17"/>
    <mergeCell ref="AD16:AE17"/>
    <mergeCell ref="AF14:AH15"/>
    <mergeCell ref="T15:U15"/>
    <mergeCell ref="V15:W15"/>
    <mergeCell ref="X15:Z15"/>
    <mergeCell ref="A14:A15"/>
    <mergeCell ref="T14:U14"/>
    <mergeCell ref="V14:W14"/>
    <mergeCell ref="X14:Z14"/>
    <mergeCell ref="AB14:AC15"/>
    <mergeCell ref="AD14:AE15"/>
    <mergeCell ref="AD12:AE13"/>
    <mergeCell ref="AF12:AH13"/>
    <mergeCell ref="T13:U13"/>
    <mergeCell ref="V13:W13"/>
    <mergeCell ref="X13:Z13"/>
    <mergeCell ref="AF10:AH11"/>
    <mergeCell ref="T11:U11"/>
    <mergeCell ref="V11:W11"/>
    <mergeCell ref="X11:Z11"/>
    <mergeCell ref="AD10:AE11"/>
    <mergeCell ref="A12:A13"/>
    <mergeCell ref="T12:U12"/>
    <mergeCell ref="V12:W12"/>
    <mergeCell ref="X12:Z12"/>
    <mergeCell ref="AB12:AC13"/>
    <mergeCell ref="A10:A11"/>
    <mergeCell ref="T10:U10"/>
    <mergeCell ref="V10:W10"/>
    <mergeCell ref="X10:Z10"/>
    <mergeCell ref="AB10:AC11"/>
    <mergeCell ref="AF8:AH9"/>
    <mergeCell ref="T9:U9"/>
    <mergeCell ref="V9:W9"/>
    <mergeCell ref="X9:Z9"/>
    <mergeCell ref="A8:A9"/>
    <mergeCell ref="T8:U8"/>
    <mergeCell ref="V8:W8"/>
    <mergeCell ref="X8:Z8"/>
    <mergeCell ref="AB8:AC9"/>
    <mergeCell ref="AD8:AE9"/>
    <mergeCell ref="AD6:AE7"/>
    <mergeCell ref="AF6:AH7"/>
    <mergeCell ref="T7:U7"/>
    <mergeCell ref="V7:W7"/>
    <mergeCell ref="X7:Z7"/>
    <mergeCell ref="T5:U5"/>
    <mergeCell ref="V5:W5"/>
    <mergeCell ref="X5:Z5"/>
    <mergeCell ref="AD4:AE5"/>
    <mergeCell ref="AF4:AH5"/>
    <mergeCell ref="A6:A7"/>
    <mergeCell ref="T6:U6"/>
    <mergeCell ref="V6:W6"/>
    <mergeCell ref="X6:Z6"/>
    <mergeCell ref="A4:A5"/>
    <mergeCell ref="T4:U4"/>
    <mergeCell ref="V4:W4"/>
    <mergeCell ref="X4:Z4"/>
    <mergeCell ref="AB4:AC5"/>
    <mergeCell ref="AB6:AC7"/>
    <mergeCell ref="AF1:AH3"/>
    <mergeCell ref="B2:E2"/>
    <mergeCell ref="G2:J2"/>
    <mergeCell ref="L2:N3"/>
    <mergeCell ref="P2:R3"/>
    <mergeCell ref="T2:U3"/>
    <mergeCell ref="V2:W3"/>
    <mergeCell ref="A1:A3"/>
    <mergeCell ref="B1:J1"/>
    <mergeCell ref="L1:R1"/>
    <mergeCell ref="X1:Z3"/>
    <mergeCell ref="AB1:AC3"/>
    <mergeCell ref="AD1:AE3"/>
  </mergeCells>
  <pageMargins left="0.7" right="0.7" top="0.75" bottom="0.75" header="0.3" footer="0.3"/>
  <pageSetup paperSize="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92DF-8066-47DB-93A1-7151B1B295F4}">
  <dimension ref="A1:R304"/>
  <sheetViews>
    <sheetView topLeftCell="C4" workbookViewId="0">
      <selection activeCell="O261" sqref="O261"/>
    </sheetView>
  </sheetViews>
  <sheetFormatPr defaultRowHeight="15" x14ac:dyDescent="0.25"/>
  <cols>
    <col min="1" max="1" width="11.28515625" bestFit="1" customWidth="1"/>
    <col min="2" max="4" width="11.140625" bestFit="1" customWidth="1"/>
    <col min="5" max="5" width="24.140625" bestFit="1" customWidth="1"/>
    <col min="6" max="6" width="11.140625" bestFit="1" customWidth="1"/>
    <col min="7" max="7" width="24.140625" bestFit="1" customWidth="1"/>
    <col min="8" max="9" width="11.140625" bestFit="1" customWidth="1"/>
    <col min="10" max="14" width="12.140625" bestFit="1" customWidth="1"/>
    <col min="15" max="15" width="24.140625" customWidth="1"/>
    <col min="16" max="16" width="12.140625" bestFit="1" customWidth="1"/>
    <col min="17" max="17" width="24.140625" bestFit="1" customWidth="1"/>
    <col min="18" max="18" width="14.85546875" bestFit="1" customWidth="1"/>
  </cols>
  <sheetData>
    <row r="1" spans="1:18" x14ac:dyDescent="0.25">
      <c r="A1" t="s">
        <v>96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292</v>
      </c>
      <c r="P1" t="s">
        <v>293</v>
      </c>
      <c r="Q1" t="s">
        <v>301</v>
      </c>
      <c r="R1" t="s">
        <v>302</v>
      </c>
    </row>
    <row r="2" spans="1:18" x14ac:dyDescent="0.25">
      <c r="A2" t="s">
        <v>95</v>
      </c>
      <c r="B2" t="s">
        <v>137</v>
      </c>
      <c r="C2" t="s">
        <v>58</v>
      </c>
      <c r="D2" t="s">
        <v>138</v>
      </c>
      <c r="E2" t="s">
        <v>59</v>
      </c>
      <c r="F2" t="s">
        <v>177</v>
      </c>
      <c r="G2" t="s">
        <v>60</v>
      </c>
      <c r="H2" t="s">
        <v>177</v>
      </c>
      <c r="I2" t="s">
        <v>97</v>
      </c>
      <c r="J2" t="s">
        <v>98</v>
      </c>
      <c r="K2" t="s">
        <v>139</v>
      </c>
      <c r="L2" t="s">
        <v>140</v>
      </c>
      <c r="M2" t="s">
        <v>141</v>
      </c>
      <c r="N2" t="s">
        <v>142</v>
      </c>
      <c r="O2" t="str">
        <f t="shared" ref="O2:O65" si="0">IF(I2&gt;J2, E2, IF(I2&lt;J2, G2, "Tie"))</f>
        <v>Winner/tie</v>
      </c>
      <c r="Q2" t="s">
        <v>301</v>
      </c>
      <c r="R2" t="s">
        <v>303</v>
      </c>
    </row>
    <row r="3" spans="1:18" x14ac:dyDescent="0.25">
      <c r="A3" t="s">
        <v>99</v>
      </c>
      <c r="B3" t="s">
        <v>143</v>
      </c>
      <c r="C3" t="s">
        <v>178</v>
      </c>
      <c r="D3" t="s">
        <v>144</v>
      </c>
      <c r="E3" t="s">
        <v>61</v>
      </c>
      <c r="F3" t="s">
        <v>177</v>
      </c>
      <c r="G3" t="s">
        <v>65</v>
      </c>
      <c r="H3" t="s">
        <v>145</v>
      </c>
      <c r="I3" t="s">
        <v>119</v>
      </c>
      <c r="J3" t="s">
        <v>102</v>
      </c>
      <c r="K3" t="s">
        <v>179</v>
      </c>
      <c r="L3" t="s">
        <v>99</v>
      </c>
      <c r="M3" t="s">
        <v>180</v>
      </c>
      <c r="N3" t="s">
        <v>99</v>
      </c>
      <c r="O3" t="str">
        <f t="shared" si="0"/>
        <v>Kansas City Chiefs</v>
      </c>
      <c r="P3">
        <v>1</v>
      </c>
      <c r="Q3" s="49" t="s">
        <v>62</v>
      </c>
      <c r="R3" t="s">
        <v>48</v>
      </c>
    </row>
    <row r="4" spans="1:18" x14ac:dyDescent="0.25">
      <c r="A4" t="s">
        <v>99</v>
      </c>
      <c r="B4" t="s">
        <v>146</v>
      </c>
      <c r="C4" t="s">
        <v>181</v>
      </c>
      <c r="D4" t="s">
        <v>147</v>
      </c>
      <c r="E4" t="s">
        <v>89</v>
      </c>
      <c r="F4" t="s">
        <v>177</v>
      </c>
      <c r="G4" t="s">
        <v>80</v>
      </c>
      <c r="H4" t="s">
        <v>145</v>
      </c>
      <c r="I4" t="s">
        <v>113</v>
      </c>
      <c r="J4" t="s">
        <v>131</v>
      </c>
      <c r="K4" t="s">
        <v>182</v>
      </c>
      <c r="L4" t="s">
        <v>105</v>
      </c>
      <c r="M4" t="s">
        <v>183</v>
      </c>
      <c r="N4" t="s">
        <v>99</v>
      </c>
      <c r="O4" t="str">
        <f t="shared" si="0"/>
        <v>Philadelphia Eagles</v>
      </c>
      <c r="P4">
        <v>2</v>
      </c>
      <c r="Q4" s="49" t="s">
        <v>64</v>
      </c>
      <c r="R4" t="s">
        <v>50</v>
      </c>
    </row>
    <row r="5" spans="1:18" x14ac:dyDescent="0.25">
      <c r="A5" t="s">
        <v>99</v>
      </c>
      <c r="B5" t="s">
        <v>148</v>
      </c>
      <c r="C5" t="s">
        <v>184</v>
      </c>
      <c r="D5" t="s">
        <v>149</v>
      </c>
      <c r="E5" t="s">
        <v>73</v>
      </c>
      <c r="F5" t="s">
        <v>100</v>
      </c>
      <c r="G5" t="s">
        <v>64</v>
      </c>
      <c r="H5" t="s">
        <v>145</v>
      </c>
      <c r="I5" t="s">
        <v>126</v>
      </c>
      <c r="J5" t="s">
        <v>112</v>
      </c>
      <c r="K5" t="s">
        <v>186</v>
      </c>
      <c r="L5" t="s">
        <v>115</v>
      </c>
      <c r="M5" t="s">
        <v>198</v>
      </c>
      <c r="N5" t="s">
        <v>105</v>
      </c>
      <c r="O5" t="str">
        <f t="shared" si="0"/>
        <v>Pittsburgh Steelers</v>
      </c>
      <c r="Q5" s="49" t="s">
        <v>65</v>
      </c>
      <c r="R5" t="s">
        <v>41</v>
      </c>
    </row>
    <row r="6" spans="1:18" x14ac:dyDescent="0.25">
      <c r="A6" t="s">
        <v>99</v>
      </c>
      <c r="B6" t="s">
        <v>148</v>
      </c>
      <c r="C6" t="s">
        <v>184</v>
      </c>
      <c r="D6" t="s">
        <v>149</v>
      </c>
      <c r="E6" t="s">
        <v>67</v>
      </c>
      <c r="F6" t="s">
        <v>177</v>
      </c>
      <c r="G6" t="s">
        <v>62</v>
      </c>
      <c r="H6" t="s">
        <v>145</v>
      </c>
      <c r="I6" t="s">
        <v>113</v>
      </c>
      <c r="J6" t="s">
        <v>118</v>
      </c>
      <c r="K6" t="s">
        <v>185</v>
      </c>
      <c r="L6" t="s">
        <v>99</v>
      </c>
      <c r="M6" t="s">
        <v>186</v>
      </c>
      <c r="N6" t="s">
        <v>99</v>
      </c>
      <c r="O6" t="str">
        <f t="shared" si="0"/>
        <v>Buffalo Bills</v>
      </c>
      <c r="Q6" s="49" t="s">
        <v>67</v>
      </c>
      <c r="R6" t="s">
        <v>27</v>
      </c>
    </row>
    <row r="7" spans="1:18" x14ac:dyDescent="0.25">
      <c r="A7" t="s">
        <v>99</v>
      </c>
      <c r="B7" t="s">
        <v>148</v>
      </c>
      <c r="C7" t="s">
        <v>184</v>
      </c>
      <c r="D7" t="s">
        <v>149</v>
      </c>
      <c r="E7" t="s">
        <v>87</v>
      </c>
      <c r="F7" t="s">
        <v>177</v>
      </c>
      <c r="G7" t="s">
        <v>69</v>
      </c>
      <c r="H7" t="s">
        <v>145</v>
      </c>
      <c r="I7" t="s">
        <v>187</v>
      </c>
      <c r="J7" t="s">
        <v>112</v>
      </c>
      <c r="K7" t="s">
        <v>188</v>
      </c>
      <c r="L7" t="s">
        <v>99</v>
      </c>
      <c r="M7" t="s">
        <v>189</v>
      </c>
      <c r="N7" t="s">
        <v>105</v>
      </c>
      <c r="O7" t="str">
        <f t="shared" si="0"/>
        <v>New Orleans Saints</v>
      </c>
      <c r="Q7" s="49" t="s">
        <v>69</v>
      </c>
      <c r="R7" t="s">
        <v>47</v>
      </c>
    </row>
    <row r="8" spans="1:18" x14ac:dyDescent="0.25">
      <c r="A8" t="s">
        <v>99</v>
      </c>
      <c r="B8" t="s">
        <v>148</v>
      </c>
      <c r="C8" t="s">
        <v>184</v>
      </c>
      <c r="D8" t="s">
        <v>149</v>
      </c>
      <c r="E8" t="s">
        <v>71</v>
      </c>
      <c r="F8" t="s">
        <v>177</v>
      </c>
      <c r="G8" t="s">
        <v>72</v>
      </c>
      <c r="H8" t="s">
        <v>145</v>
      </c>
      <c r="I8" t="s">
        <v>104</v>
      </c>
      <c r="J8" t="s">
        <v>108</v>
      </c>
      <c r="K8" t="s">
        <v>192</v>
      </c>
      <c r="L8" t="s">
        <v>99</v>
      </c>
      <c r="M8" t="s">
        <v>193</v>
      </c>
      <c r="N8" t="s">
        <v>105</v>
      </c>
      <c r="O8" t="str">
        <f t="shared" si="0"/>
        <v>Chicago Bears</v>
      </c>
      <c r="Q8" s="49" t="s">
        <v>71</v>
      </c>
      <c r="R8" t="s">
        <v>304</v>
      </c>
    </row>
    <row r="9" spans="1:18" x14ac:dyDescent="0.25">
      <c r="A9" t="s">
        <v>99</v>
      </c>
      <c r="B9" t="s">
        <v>148</v>
      </c>
      <c r="C9" t="s">
        <v>184</v>
      </c>
      <c r="D9" t="s">
        <v>149</v>
      </c>
      <c r="E9" t="s">
        <v>76</v>
      </c>
      <c r="F9" t="s">
        <v>100</v>
      </c>
      <c r="G9" t="s">
        <v>70</v>
      </c>
      <c r="H9" t="s">
        <v>145</v>
      </c>
      <c r="I9" t="s">
        <v>109</v>
      </c>
      <c r="J9" t="s">
        <v>112</v>
      </c>
      <c r="K9" t="s">
        <v>194</v>
      </c>
      <c r="L9" t="s">
        <v>115</v>
      </c>
      <c r="M9" t="s">
        <v>195</v>
      </c>
      <c r="N9" t="s">
        <v>117</v>
      </c>
      <c r="O9" t="str">
        <f t="shared" si="0"/>
        <v>New England Patriots</v>
      </c>
      <c r="Q9" s="49" t="s">
        <v>70</v>
      </c>
      <c r="R9" t="s">
        <v>40</v>
      </c>
    </row>
    <row r="10" spans="1:18" x14ac:dyDescent="0.25">
      <c r="A10" t="s">
        <v>99</v>
      </c>
      <c r="B10" t="s">
        <v>148</v>
      </c>
      <c r="C10" t="s">
        <v>184</v>
      </c>
      <c r="D10" t="s">
        <v>149</v>
      </c>
      <c r="E10" t="s">
        <v>68</v>
      </c>
      <c r="F10" t="s">
        <v>100</v>
      </c>
      <c r="G10" t="s">
        <v>66</v>
      </c>
      <c r="H10" t="s">
        <v>145</v>
      </c>
      <c r="I10" t="s">
        <v>131</v>
      </c>
      <c r="J10" t="s">
        <v>119</v>
      </c>
      <c r="K10" t="s">
        <v>199</v>
      </c>
      <c r="L10" t="s">
        <v>115</v>
      </c>
      <c r="M10" t="s">
        <v>200</v>
      </c>
      <c r="N10" t="s">
        <v>99</v>
      </c>
      <c r="O10" t="str">
        <f t="shared" si="0"/>
        <v>Houston Texans</v>
      </c>
      <c r="Q10" s="49" t="s">
        <v>74</v>
      </c>
      <c r="R10" t="s">
        <v>52</v>
      </c>
    </row>
    <row r="11" spans="1:18" x14ac:dyDescent="0.25">
      <c r="A11" t="s">
        <v>99</v>
      </c>
      <c r="B11" t="s">
        <v>148</v>
      </c>
      <c r="C11" t="s">
        <v>184</v>
      </c>
      <c r="D11" t="s">
        <v>149</v>
      </c>
      <c r="E11" t="s">
        <v>86</v>
      </c>
      <c r="F11" t="s">
        <v>177</v>
      </c>
      <c r="G11" t="s">
        <v>83</v>
      </c>
      <c r="H11" t="s">
        <v>145</v>
      </c>
      <c r="I11" t="s">
        <v>102</v>
      </c>
      <c r="J11" t="s">
        <v>108</v>
      </c>
      <c r="K11" t="s">
        <v>196</v>
      </c>
      <c r="L11" t="s">
        <v>115</v>
      </c>
      <c r="M11" t="s">
        <v>197</v>
      </c>
      <c r="N11" t="s">
        <v>99</v>
      </c>
      <c r="O11" t="str">
        <f t="shared" si="0"/>
        <v>Miami Dolphins</v>
      </c>
      <c r="Q11" s="49" t="s">
        <v>75</v>
      </c>
      <c r="R11" t="s">
        <v>49</v>
      </c>
    </row>
    <row r="12" spans="1:18" x14ac:dyDescent="0.25">
      <c r="A12" t="s">
        <v>99</v>
      </c>
      <c r="B12" t="s">
        <v>148</v>
      </c>
      <c r="C12" t="s">
        <v>184</v>
      </c>
      <c r="D12" t="s">
        <v>149</v>
      </c>
      <c r="E12" t="s">
        <v>63</v>
      </c>
      <c r="F12" t="s">
        <v>100</v>
      </c>
      <c r="G12" t="s">
        <v>82</v>
      </c>
      <c r="H12" t="s">
        <v>145</v>
      </c>
      <c r="I12" t="s">
        <v>118</v>
      </c>
      <c r="J12" t="s">
        <v>125</v>
      </c>
      <c r="K12" t="s">
        <v>190</v>
      </c>
      <c r="L12" t="s">
        <v>117</v>
      </c>
      <c r="M12" t="s">
        <v>191</v>
      </c>
      <c r="N12" t="s">
        <v>117</v>
      </c>
      <c r="O12" t="str">
        <f t="shared" si="0"/>
        <v>New York Giants</v>
      </c>
      <c r="Q12" s="49" t="s">
        <v>77</v>
      </c>
      <c r="R12" t="s">
        <v>57</v>
      </c>
    </row>
    <row r="13" spans="1:18" x14ac:dyDescent="0.25">
      <c r="A13" t="s">
        <v>99</v>
      </c>
      <c r="B13" t="s">
        <v>148</v>
      </c>
      <c r="C13" t="s">
        <v>184</v>
      </c>
      <c r="D13" t="s">
        <v>150</v>
      </c>
      <c r="E13" t="s">
        <v>81</v>
      </c>
      <c r="F13" t="s">
        <v>177</v>
      </c>
      <c r="G13" t="s">
        <v>77</v>
      </c>
      <c r="H13" t="s">
        <v>145</v>
      </c>
      <c r="I13" t="s">
        <v>123</v>
      </c>
      <c r="J13" t="s">
        <v>102</v>
      </c>
      <c r="K13" t="s">
        <v>201</v>
      </c>
      <c r="L13" t="s">
        <v>117</v>
      </c>
      <c r="M13" t="s">
        <v>202</v>
      </c>
      <c r="N13" t="s">
        <v>105</v>
      </c>
      <c r="O13" t="str">
        <f t="shared" si="0"/>
        <v>Seattle Seahawks</v>
      </c>
      <c r="Q13" s="49" t="s">
        <v>78</v>
      </c>
      <c r="R13" t="s">
        <v>305</v>
      </c>
    </row>
    <row r="14" spans="1:18" x14ac:dyDescent="0.25">
      <c r="A14" t="s">
        <v>99</v>
      </c>
      <c r="B14" t="s">
        <v>148</v>
      </c>
      <c r="C14" t="s">
        <v>184</v>
      </c>
      <c r="D14" t="s">
        <v>150</v>
      </c>
      <c r="E14" t="s">
        <v>79</v>
      </c>
      <c r="F14" t="s">
        <v>177</v>
      </c>
      <c r="G14" t="s">
        <v>84</v>
      </c>
      <c r="H14" t="s">
        <v>145</v>
      </c>
      <c r="I14" t="s">
        <v>116</v>
      </c>
      <c r="J14" t="s">
        <v>112</v>
      </c>
      <c r="K14" t="s">
        <v>203</v>
      </c>
      <c r="L14" t="s">
        <v>115</v>
      </c>
      <c r="M14" t="s">
        <v>204</v>
      </c>
      <c r="N14" t="s">
        <v>105</v>
      </c>
      <c r="O14" t="str">
        <f t="shared" si="0"/>
        <v>Los Angeles Chargers</v>
      </c>
      <c r="Q14" s="49" t="s">
        <v>80</v>
      </c>
      <c r="R14" t="s">
        <v>9</v>
      </c>
    </row>
    <row r="15" spans="1:18" x14ac:dyDescent="0.25">
      <c r="A15" t="s">
        <v>99</v>
      </c>
      <c r="B15" t="s">
        <v>148</v>
      </c>
      <c r="C15" t="s">
        <v>184</v>
      </c>
      <c r="D15" t="s">
        <v>151</v>
      </c>
      <c r="E15" t="s">
        <v>75</v>
      </c>
      <c r="F15" t="s">
        <v>100</v>
      </c>
      <c r="G15" t="s">
        <v>74</v>
      </c>
      <c r="H15" t="s">
        <v>145</v>
      </c>
      <c r="I15" t="s">
        <v>122</v>
      </c>
      <c r="J15" t="s">
        <v>108</v>
      </c>
      <c r="K15" t="s">
        <v>207</v>
      </c>
      <c r="L15" t="s">
        <v>115</v>
      </c>
      <c r="M15" t="s">
        <v>208</v>
      </c>
      <c r="N15" t="s">
        <v>117</v>
      </c>
      <c r="O15" t="str">
        <f t="shared" si="0"/>
        <v>Dallas Cowboys</v>
      </c>
      <c r="Q15" s="49" t="s">
        <v>68</v>
      </c>
      <c r="R15" t="s">
        <v>55</v>
      </c>
    </row>
    <row r="16" spans="1:18" x14ac:dyDescent="0.25">
      <c r="A16" t="s">
        <v>99</v>
      </c>
      <c r="B16" t="s">
        <v>148</v>
      </c>
      <c r="C16" t="s">
        <v>184</v>
      </c>
      <c r="D16" t="s">
        <v>151</v>
      </c>
      <c r="E16" t="s">
        <v>91</v>
      </c>
      <c r="F16" t="s">
        <v>177</v>
      </c>
      <c r="G16" t="s">
        <v>92</v>
      </c>
      <c r="H16" t="s">
        <v>145</v>
      </c>
      <c r="I16" t="s">
        <v>120</v>
      </c>
      <c r="J16" t="s">
        <v>102</v>
      </c>
      <c r="K16" t="s">
        <v>205</v>
      </c>
      <c r="L16" t="s">
        <v>115</v>
      </c>
      <c r="M16" t="s">
        <v>206</v>
      </c>
      <c r="N16" t="s">
        <v>115</v>
      </c>
      <c r="O16" t="str">
        <f t="shared" si="0"/>
        <v>Tampa Bay Buccaneers</v>
      </c>
      <c r="Q16" s="49" t="s">
        <v>66</v>
      </c>
      <c r="R16" t="s">
        <v>56</v>
      </c>
    </row>
    <row r="17" spans="1:18" x14ac:dyDescent="0.25">
      <c r="A17" t="s">
        <v>99</v>
      </c>
      <c r="B17" t="s">
        <v>148</v>
      </c>
      <c r="C17" t="s">
        <v>184</v>
      </c>
      <c r="D17" t="s">
        <v>144</v>
      </c>
      <c r="E17" t="s">
        <v>78</v>
      </c>
      <c r="F17" t="s">
        <v>177</v>
      </c>
      <c r="G17" t="s">
        <v>85</v>
      </c>
      <c r="H17" t="s">
        <v>145</v>
      </c>
      <c r="I17" t="s">
        <v>123</v>
      </c>
      <c r="J17" t="s">
        <v>102</v>
      </c>
      <c r="K17" t="s">
        <v>209</v>
      </c>
      <c r="L17" t="s">
        <v>99</v>
      </c>
      <c r="M17" t="s">
        <v>210</v>
      </c>
      <c r="N17" t="s">
        <v>99</v>
      </c>
      <c r="O17" t="str">
        <f t="shared" si="0"/>
        <v>Detroit Lions</v>
      </c>
      <c r="Q17" s="49" t="s">
        <v>83</v>
      </c>
      <c r="R17" t="s">
        <v>51</v>
      </c>
    </row>
    <row r="18" spans="1:18" x14ac:dyDescent="0.25">
      <c r="A18" t="s">
        <v>99</v>
      </c>
      <c r="B18" t="s">
        <v>152</v>
      </c>
      <c r="C18" t="s">
        <v>211</v>
      </c>
      <c r="D18" t="s">
        <v>147</v>
      </c>
      <c r="E18" t="s">
        <v>90</v>
      </c>
      <c r="F18" t="s">
        <v>177</v>
      </c>
      <c r="G18" t="s">
        <v>88</v>
      </c>
      <c r="H18" t="s">
        <v>145</v>
      </c>
      <c r="I18" t="s">
        <v>212</v>
      </c>
      <c r="J18" t="s">
        <v>127</v>
      </c>
      <c r="K18" t="s">
        <v>213</v>
      </c>
      <c r="L18" t="s">
        <v>115</v>
      </c>
      <c r="M18" t="s">
        <v>214</v>
      </c>
      <c r="N18" t="s">
        <v>117</v>
      </c>
      <c r="O18" t="str">
        <f t="shared" si="0"/>
        <v>San Francisco 49ers</v>
      </c>
      <c r="P18">
        <v>3</v>
      </c>
      <c r="Q18" s="49" t="s">
        <v>61</v>
      </c>
      <c r="R18" t="s">
        <v>10</v>
      </c>
    </row>
    <row r="19" spans="1:18" x14ac:dyDescent="0.25">
      <c r="A19" t="s">
        <v>95</v>
      </c>
      <c r="B19" t="s">
        <v>137</v>
      </c>
      <c r="C19" t="s">
        <v>58</v>
      </c>
      <c r="D19" t="s">
        <v>138</v>
      </c>
      <c r="E19" t="s">
        <v>59</v>
      </c>
      <c r="F19" t="s">
        <v>177</v>
      </c>
      <c r="G19" t="s">
        <v>60</v>
      </c>
      <c r="H19" t="s">
        <v>177</v>
      </c>
      <c r="I19" t="s">
        <v>97</v>
      </c>
      <c r="J19" t="s">
        <v>98</v>
      </c>
      <c r="K19" t="s">
        <v>139</v>
      </c>
      <c r="L19" t="s">
        <v>140</v>
      </c>
      <c r="M19" t="s">
        <v>141</v>
      </c>
      <c r="N19" t="s">
        <v>142</v>
      </c>
      <c r="O19" t="str">
        <f t="shared" si="0"/>
        <v>Winner/tie</v>
      </c>
      <c r="Q19" s="49" t="s">
        <v>84</v>
      </c>
      <c r="R19" t="s">
        <v>16</v>
      </c>
    </row>
    <row r="20" spans="1:18" x14ac:dyDescent="0.25">
      <c r="A20" t="s">
        <v>117</v>
      </c>
      <c r="B20" t="s">
        <v>143</v>
      </c>
      <c r="C20" t="s">
        <v>215</v>
      </c>
      <c r="D20" t="s">
        <v>147</v>
      </c>
      <c r="E20" t="s">
        <v>67</v>
      </c>
      <c r="F20" t="s">
        <v>100</v>
      </c>
      <c r="G20" t="s">
        <v>86</v>
      </c>
      <c r="H20" t="s">
        <v>145</v>
      </c>
      <c r="I20" t="s">
        <v>103</v>
      </c>
      <c r="J20" t="s">
        <v>112</v>
      </c>
      <c r="K20" t="s">
        <v>216</v>
      </c>
      <c r="L20" t="s">
        <v>115</v>
      </c>
      <c r="M20" t="s">
        <v>217</v>
      </c>
      <c r="N20" t="s">
        <v>105</v>
      </c>
      <c r="O20" t="str">
        <f t="shared" si="0"/>
        <v>Buffalo Bills</v>
      </c>
      <c r="P20">
        <v>4</v>
      </c>
      <c r="Q20" s="49" t="s">
        <v>79</v>
      </c>
      <c r="R20" t="s">
        <v>12</v>
      </c>
    </row>
    <row r="21" spans="1:18" x14ac:dyDescent="0.25">
      <c r="A21" t="s">
        <v>117</v>
      </c>
      <c r="B21" t="s">
        <v>148</v>
      </c>
      <c r="C21" t="s">
        <v>218</v>
      </c>
      <c r="D21" t="s">
        <v>149</v>
      </c>
      <c r="E21" t="s">
        <v>79</v>
      </c>
      <c r="F21" t="s">
        <v>100</v>
      </c>
      <c r="G21" t="s">
        <v>69</v>
      </c>
      <c r="H21" t="s">
        <v>145</v>
      </c>
      <c r="I21" t="s">
        <v>123</v>
      </c>
      <c r="J21" t="s">
        <v>105</v>
      </c>
      <c r="K21" t="s">
        <v>228</v>
      </c>
      <c r="L21" t="s">
        <v>117</v>
      </c>
      <c r="M21" t="s">
        <v>229</v>
      </c>
      <c r="N21" t="s">
        <v>99</v>
      </c>
      <c r="O21" t="str">
        <f t="shared" si="0"/>
        <v>Carolina Panthers</v>
      </c>
      <c r="Q21" s="49" t="s">
        <v>85</v>
      </c>
      <c r="R21" t="s">
        <v>15</v>
      </c>
    </row>
    <row r="22" spans="1:18" x14ac:dyDescent="0.25">
      <c r="A22" t="s">
        <v>117</v>
      </c>
      <c r="B22" t="s">
        <v>148</v>
      </c>
      <c r="C22" t="s">
        <v>218</v>
      </c>
      <c r="D22" t="s">
        <v>149</v>
      </c>
      <c r="E22" t="s">
        <v>74</v>
      </c>
      <c r="F22" t="s">
        <v>100</v>
      </c>
      <c r="G22" t="s">
        <v>83</v>
      </c>
      <c r="H22" t="s">
        <v>145</v>
      </c>
      <c r="I22" t="s">
        <v>126</v>
      </c>
      <c r="J22" t="s">
        <v>114</v>
      </c>
      <c r="K22" t="s">
        <v>223</v>
      </c>
      <c r="L22" t="s">
        <v>115</v>
      </c>
      <c r="M22" t="s">
        <v>224</v>
      </c>
      <c r="N22" t="s">
        <v>115</v>
      </c>
      <c r="O22" t="str">
        <f t="shared" si="0"/>
        <v>Cleveland Browns</v>
      </c>
      <c r="Q22" s="49" t="s">
        <v>86</v>
      </c>
      <c r="R22" t="s">
        <v>45</v>
      </c>
    </row>
    <row r="23" spans="1:18" x14ac:dyDescent="0.25">
      <c r="A23" t="s">
        <v>117</v>
      </c>
      <c r="B23" t="s">
        <v>148</v>
      </c>
      <c r="C23" t="s">
        <v>218</v>
      </c>
      <c r="D23" t="s">
        <v>149</v>
      </c>
      <c r="E23" t="s">
        <v>80</v>
      </c>
      <c r="F23" t="s">
        <v>177</v>
      </c>
      <c r="G23" t="s">
        <v>66</v>
      </c>
      <c r="H23" t="s">
        <v>145</v>
      </c>
      <c r="I23" t="s">
        <v>109</v>
      </c>
      <c r="J23" t="s">
        <v>112</v>
      </c>
      <c r="K23" t="s">
        <v>219</v>
      </c>
      <c r="L23" t="s">
        <v>99</v>
      </c>
      <c r="M23" t="s">
        <v>220</v>
      </c>
      <c r="N23" t="s">
        <v>105</v>
      </c>
      <c r="O23" t="str">
        <f t="shared" si="0"/>
        <v>Green Bay Packers</v>
      </c>
      <c r="Q23" s="49" t="s">
        <v>63</v>
      </c>
      <c r="R23" t="s">
        <v>44</v>
      </c>
    </row>
    <row r="24" spans="1:18" x14ac:dyDescent="0.25">
      <c r="A24" t="s">
        <v>117</v>
      </c>
      <c r="B24" t="s">
        <v>148</v>
      </c>
      <c r="C24" t="s">
        <v>218</v>
      </c>
      <c r="D24" t="s">
        <v>149</v>
      </c>
      <c r="E24" t="s">
        <v>87</v>
      </c>
      <c r="F24" t="s">
        <v>100</v>
      </c>
      <c r="G24" t="s">
        <v>75</v>
      </c>
      <c r="H24" t="s">
        <v>145</v>
      </c>
      <c r="I24" t="s">
        <v>221</v>
      </c>
      <c r="J24" t="s">
        <v>127</v>
      </c>
      <c r="K24" t="s">
        <v>222</v>
      </c>
      <c r="L24" t="s">
        <v>99</v>
      </c>
      <c r="M24" t="s">
        <v>179</v>
      </c>
      <c r="N24" t="s">
        <v>117</v>
      </c>
      <c r="O24" t="str">
        <f t="shared" si="0"/>
        <v>New Orleans Saints</v>
      </c>
      <c r="Q24" s="49" t="s">
        <v>76</v>
      </c>
      <c r="R24" t="s">
        <v>19</v>
      </c>
    </row>
    <row r="25" spans="1:18" x14ac:dyDescent="0.25">
      <c r="A25" t="s">
        <v>117</v>
      </c>
      <c r="B25" t="s">
        <v>148</v>
      </c>
      <c r="C25" t="s">
        <v>218</v>
      </c>
      <c r="D25" t="s">
        <v>149</v>
      </c>
      <c r="E25" t="s">
        <v>91</v>
      </c>
      <c r="F25" t="s">
        <v>100</v>
      </c>
      <c r="G25" t="s">
        <v>78</v>
      </c>
      <c r="H25" t="s">
        <v>145</v>
      </c>
      <c r="I25" t="s">
        <v>102</v>
      </c>
      <c r="J25" t="s">
        <v>109</v>
      </c>
      <c r="K25" t="s">
        <v>225</v>
      </c>
      <c r="L25" t="s">
        <v>99</v>
      </c>
      <c r="M25" t="s">
        <v>226</v>
      </c>
      <c r="N25" t="s">
        <v>117</v>
      </c>
      <c r="O25" t="str">
        <f t="shared" si="0"/>
        <v>Tampa Bay Buccaneers</v>
      </c>
      <c r="Q25" s="49" t="s">
        <v>87</v>
      </c>
      <c r="R25" t="s">
        <v>20</v>
      </c>
    </row>
    <row r="26" spans="1:18" x14ac:dyDescent="0.25">
      <c r="A26" t="s">
        <v>117</v>
      </c>
      <c r="B26" t="s">
        <v>148</v>
      </c>
      <c r="C26" t="s">
        <v>218</v>
      </c>
      <c r="D26" t="s">
        <v>149</v>
      </c>
      <c r="E26" t="s">
        <v>63</v>
      </c>
      <c r="F26" t="s">
        <v>177</v>
      </c>
      <c r="G26" t="s">
        <v>90</v>
      </c>
      <c r="H26" t="s">
        <v>145</v>
      </c>
      <c r="I26" t="s">
        <v>121</v>
      </c>
      <c r="J26" t="s">
        <v>108</v>
      </c>
      <c r="K26" t="s">
        <v>230</v>
      </c>
      <c r="L26" t="s">
        <v>117</v>
      </c>
      <c r="M26" t="s">
        <v>313</v>
      </c>
      <c r="N26" t="s">
        <v>117</v>
      </c>
      <c r="O26" t="str">
        <f t="shared" si="0"/>
        <v>Minnesota Vikings</v>
      </c>
      <c r="Q26" s="49" t="s">
        <v>82</v>
      </c>
      <c r="R26" t="s">
        <v>17</v>
      </c>
    </row>
    <row r="27" spans="1:18" x14ac:dyDescent="0.25">
      <c r="A27" t="s">
        <v>117</v>
      </c>
      <c r="B27" t="s">
        <v>148</v>
      </c>
      <c r="C27" t="s">
        <v>218</v>
      </c>
      <c r="D27" t="s">
        <v>149</v>
      </c>
      <c r="E27" t="s">
        <v>81</v>
      </c>
      <c r="F27" t="s">
        <v>100</v>
      </c>
      <c r="G27" t="s">
        <v>76</v>
      </c>
      <c r="H27" t="s">
        <v>145</v>
      </c>
      <c r="I27" t="s">
        <v>121</v>
      </c>
      <c r="J27" t="s">
        <v>102</v>
      </c>
      <c r="K27" t="s">
        <v>231</v>
      </c>
      <c r="L27" t="s">
        <v>115</v>
      </c>
      <c r="M27" t="s">
        <v>232</v>
      </c>
      <c r="N27" t="s">
        <v>115</v>
      </c>
      <c r="O27" t="str">
        <f t="shared" si="0"/>
        <v>Seattle Seahawks</v>
      </c>
      <c r="Q27" s="49" t="s">
        <v>88</v>
      </c>
      <c r="R27" t="s">
        <v>21</v>
      </c>
    </row>
    <row r="28" spans="1:18" x14ac:dyDescent="0.25">
      <c r="A28" t="s">
        <v>117</v>
      </c>
      <c r="B28" t="s">
        <v>148</v>
      </c>
      <c r="C28" t="s">
        <v>218</v>
      </c>
      <c r="D28" t="s">
        <v>149</v>
      </c>
      <c r="E28" t="s">
        <v>92</v>
      </c>
      <c r="F28" t="s">
        <v>177</v>
      </c>
      <c r="G28" t="s">
        <v>82</v>
      </c>
      <c r="H28" t="s">
        <v>145</v>
      </c>
      <c r="I28" t="s">
        <v>101</v>
      </c>
      <c r="J28" t="s">
        <v>126</v>
      </c>
      <c r="K28" t="s">
        <v>233</v>
      </c>
      <c r="L28" t="s">
        <v>115</v>
      </c>
      <c r="M28" t="s">
        <v>201</v>
      </c>
      <c r="N28" t="s">
        <v>99</v>
      </c>
      <c r="O28" t="str">
        <f t="shared" si="0"/>
        <v>Washington Commanders</v>
      </c>
      <c r="Q28" s="49" t="s">
        <v>89</v>
      </c>
      <c r="R28" t="s">
        <v>39</v>
      </c>
    </row>
    <row r="29" spans="1:18" x14ac:dyDescent="0.25">
      <c r="A29" t="s">
        <v>117</v>
      </c>
      <c r="B29" t="s">
        <v>148</v>
      </c>
      <c r="C29" t="s">
        <v>218</v>
      </c>
      <c r="D29" t="s">
        <v>149</v>
      </c>
      <c r="E29" t="s">
        <v>88</v>
      </c>
      <c r="F29" t="s">
        <v>100</v>
      </c>
      <c r="G29" t="s">
        <v>72</v>
      </c>
      <c r="H29" t="s">
        <v>145</v>
      </c>
      <c r="I29" t="s">
        <v>104</v>
      </c>
      <c r="J29" t="s">
        <v>108</v>
      </c>
      <c r="K29" t="s">
        <v>207</v>
      </c>
      <c r="L29" t="s">
        <v>115</v>
      </c>
      <c r="M29" t="s">
        <v>234</v>
      </c>
      <c r="N29" t="s">
        <v>117</v>
      </c>
      <c r="O29" t="str">
        <f t="shared" si="0"/>
        <v>New York Jets</v>
      </c>
      <c r="Q29" s="49" t="s">
        <v>73</v>
      </c>
      <c r="R29" t="s">
        <v>54</v>
      </c>
    </row>
    <row r="30" spans="1:18" x14ac:dyDescent="0.25">
      <c r="A30" t="s">
        <v>117</v>
      </c>
      <c r="B30" t="s">
        <v>148</v>
      </c>
      <c r="C30" t="s">
        <v>218</v>
      </c>
      <c r="D30" t="s">
        <v>149</v>
      </c>
      <c r="E30" t="s">
        <v>84</v>
      </c>
      <c r="F30" t="s">
        <v>100</v>
      </c>
      <c r="G30" t="s">
        <v>65</v>
      </c>
      <c r="H30" t="s">
        <v>145</v>
      </c>
      <c r="I30" t="s">
        <v>123</v>
      </c>
      <c r="J30" t="s">
        <v>121</v>
      </c>
      <c r="K30" t="s">
        <v>227</v>
      </c>
      <c r="L30" t="s">
        <v>99</v>
      </c>
      <c r="M30" t="s">
        <v>219</v>
      </c>
      <c r="N30" t="s">
        <v>99</v>
      </c>
      <c r="O30" t="str">
        <f t="shared" si="0"/>
        <v>Las Vegas Raiders</v>
      </c>
      <c r="Q30" s="49" t="s">
        <v>90</v>
      </c>
      <c r="R30" t="s">
        <v>18</v>
      </c>
    </row>
    <row r="31" spans="1:18" x14ac:dyDescent="0.25">
      <c r="A31" t="s">
        <v>117</v>
      </c>
      <c r="B31" t="s">
        <v>148</v>
      </c>
      <c r="C31" t="s">
        <v>218</v>
      </c>
      <c r="D31" t="s">
        <v>150</v>
      </c>
      <c r="E31" t="s">
        <v>62</v>
      </c>
      <c r="F31" t="s">
        <v>177</v>
      </c>
      <c r="G31" t="s">
        <v>85</v>
      </c>
      <c r="H31" t="s">
        <v>145</v>
      </c>
      <c r="I31" t="s">
        <v>128</v>
      </c>
      <c r="J31" t="s">
        <v>112</v>
      </c>
      <c r="K31" t="s">
        <v>235</v>
      </c>
      <c r="L31" t="s">
        <v>99</v>
      </c>
      <c r="M31" t="s">
        <v>236</v>
      </c>
      <c r="N31" t="s">
        <v>99</v>
      </c>
      <c r="O31" t="str">
        <f t="shared" si="0"/>
        <v>Arizona Cardinals</v>
      </c>
      <c r="Q31" s="49" t="s">
        <v>81</v>
      </c>
      <c r="R31" t="s">
        <v>42</v>
      </c>
    </row>
    <row r="32" spans="1:18" x14ac:dyDescent="0.25">
      <c r="A32" t="s">
        <v>117</v>
      </c>
      <c r="B32" t="s">
        <v>148</v>
      </c>
      <c r="C32" t="s">
        <v>218</v>
      </c>
      <c r="D32" t="s">
        <v>151</v>
      </c>
      <c r="E32" t="s">
        <v>61</v>
      </c>
      <c r="F32" t="s">
        <v>177</v>
      </c>
      <c r="G32" t="s">
        <v>70</v>
      </c>
      <c r="H32" t="s">
        <v>145</v>
      </c>
      <c r="I32" t="s">
        <v>123</v>
      </c>
      <c r="J32" t="s">
        <v>106</v>
      </c>
      <c r="K32" t="s">
        <v>237</v>
      </c>
      <c r="L32" t="s">
        <v>105</v>
      </c>
      <c r="M32" t="s">
        <v>238</v>
      </c>
      <c r="N32" t="s">
        <v>99</v>
      </c>
      <c r="O32" t="str">
        <f t="shared" si="0"/>
        <v>Kansas City Chiefs</v>
      </c>
      <c r="Q32" s="49" t="s">
        <v>91</v>
      </c>
      <c r="R32" t="s">
        <v>11</v>
      </c>
    </row>
    <row r="33" spans="1:18" x14ac:dyDescent="0.25">
      <c r="A33" t="s">
        <v>117</v>
      </c>
      <c r="B33" t="s">
        <v>148</v>
      </c>
      <c r="C33" t="s">
        <v>218</v>
      </c>
      <c r="D33" t="s">
        <v>151</v>
      </c>
      <c r="E33" t="s">
        <v>73</v>
      </c>
      <c r="F33" t="s">
        <v>100</v>
      </c>
      <c r="G33" t="s">
        <v>77</v>
      </c>
      <c r="H33" t="s">
        <v>145</v>
      </c>
      <c r="I33" t="s">
        <v>114</v>
      </c>
      <c r="J33" t="s">
        <v>125</v>
      </c>
      <c r="K33" t="s">
        <v>239</v>
      </c>
      <c r="L33" t="s">
        <v>115</v>
      </c>
      <c r="M33" t="s">
        <v>240</v>
      </c>
      <c r="N33" t="s">
        <v>117</v>
      </c>
      <c r="O33" t="str">
        <f t="shared" si="0"/>
        <v>Denver Broncos</v>
      </c>
      <c r="Q33" s="49" t="s">
        <v>72</v>
      </c>
      <c r="R33" t="s">
        <v>46</v>
      </c>
    </row>
    <row r="34" spans="1:18" x14ac:dyDescent="0.25">
      <c r="A34" t="s">
        <v>117</v>
      </c>
      <c r="B34" t="s">
        <v>148</v>
      </c>
      <c r="C34" t="s">
        <v>218</v>
      </c>
      <c r="D34" t="s">
        <v>144</v>
      </c>
      <c r="E34" t="s">
        <v>68</v>
      </c>
      <c r="F34" t="s">
        <v>177</v>
      </c>
      <c r="G34" t="s">
        <v>71</v>
      </c>
      <c r="H34" t="s">
        <v>145</v>
      </c>
      <c r="I34" t="s">
        <v>127</v>
      </c>
      <c r="J34" t="s">
        <v>114</v>
      </c>
      <c r="K34" t="s">
        <v>232</v>
      </c>
      <c r="L34" t="s">
        <v>99</v>
      </c>
      <c r="M34" t="s">
        <v>241</v>
      </c>
      <c r="N34" t="s">
        <v>117</v>
      </c>
      <c r="O34" t="str">
        <f t="shared" si="0"/>
        <v>Houston Texans</v>
      </c>
      <c r="Q34" s="49" t="s">
        <v>92</v>
      </c>
      <c r="R34" t="s">
        <v>43</v>
      </c>
    </row>
    <row r="35" spans="1:18" x14ac:dyDescent="0.25">
      <c r="A35" t="s">
        <v>117</v>
      </c>
      <c r="B35" t="s">
        <v>152</v>
      </c>
      <c r="C35" t="s">
        <v>242</v>
      </c>
      <c r="D35" t="s">
        <v>147</v>
      </c>
      <c r="E35" t="s">
        <v>64</v>
      </c>
      <c r="F35" t="s">
        <v>100</v>
      </c>
      <c r="G35" t="s">
        <v>89</v>
      </c>
      <c r="H35" t="s">
        <v>145</v>
      </c>
      <c r="I35" t="s">
        <v>116</v>
      </c>
      <c r="J35" t="s">
        <v>101</v>
      </c>
      <c r="K35" t="s">
        <v>299</v>
      </c>
      <c r="L35" t="s">
        <v>115</v>
      </c>
      <c r="M35" t="s">
        <v>300</v>
      </c>
      <c r="N35" t="s">
        <v>99</v>
      </c>
      <c r="O35" t="str">
        <f t="shared" si="0"/>
        <v>Atlanta Falcons</v>
      </c>
      <c r="P35">
        <v>5</v>
      </c>
    </row>
    <row r="36" spans="1:18" x14ac:dyDescent="0.25">
      <c r="A36" t="s">
        <v>95</v>
      </c>
      <c r="B36" t="s">
        <v>137</v>
      </c>
      <c r="C36" t="s">
        <v>58</v>
      </c>
      <c r="D36" t="s">
        <v>138</v>
      </c>
      <c r="E36" t="s">
        <v>59</v>
      </c>
      <c r="F36" t="s">
        <v>177</v>
      </c>
      <c r="G36" t="s">
        <v>60</v>
      </c>
      <c r="H36" t="s">
        <v>177</v>
      </c>
      <c r="I36" t="s">
        <v>97</v>
      </c>
      <c r="J36" t="s">
        <v>98</v>
      </c>
      <c r="K36" t="s">
        <v>139</v>
      </c>
      <c r="L36" t="s">
        <v>140</v>
      </c>
      <c r="M36" t="s">
        <v>141</v>
      </c>
      <c r="N36" t="s">
        <v>142</v>
      </c>
      <c r="O36" t="str">
        <f t="shared" si="0"/>
        <v>Winner/tie</v>
      </c>
    </row>
    <row r="37" spans="1:18" x14ac:dyDescent="0.25">
      <c r="A37" t="s">
        <v>105</v>
      </c>
      <c r="B37" t="s">
        <v>143</v>
      </c>
      <c r="C37" t="s">
        <v>243</v>
      </c>
      <c r="D37" t="s">
        <v>147</v>
      </c>
      <c r="E37" t="s">
        <v>88</v>
      </c>
      <c r="F37" t="s">
        <v>177</v>
      </c>
      <c r="G37" t="s">
        <v>76</v>
      </c>
      <c r="H37" t="s">
        <v>145</v>
      </c>
      <c r="I37" t="s">
        <v>104</v>
      </c>
      <c r="J37" t="s">
        <v>105</v>
      </c>
      <c r="K37" t="s">
        <v>196</v>
      </c>
      <c r="L37" t="s">
        <v>115</v>
      </c>
      <c r="M37" t="s">
        <v>314</v>
      </c>
      <c r="N37" t="s">
        <v>99</v>
      </c>
      <c r="O37" t="s">
        <v>88</v>
      </c>
      <c r="P37">
        <v>6</v>
      </c>
    </row>
    <row r="38" spans="1:18" x14ac:dyDescent="0.25">
      <c r="A38" t="s">
        <v>105</v>
      </c>
      <c r="B38" t="s">
        <v>148</v>
      </c>
      <c r="C38" t="s">
        <v>244</v>
      </c>
      <c r="D38" t="s">
        <v>149</v>
      </c>
      <c r="E38" t="s">
        <v>66</v>
      </c>
      <c r="F38" t="s">
        <v>177</v>
      </c>
      <c r="G38" t="s">
        <v>71</v>
      </c>
      <c r="H38" t="s">
        <v>145</v>
      </c>
      <c r="I38" t="s">
        <v>101</v>
      </c>
      <c r="J38" t="s">
        <v>109</v>
      </c>
      <c r="K38" t="s">
        <v>315</v>
      </c>
      <c r="L38" t="s">
        <v>117</v>
      </c>
      <c r="M38" t="s">
        <v>316</v>
      </c>
      <c r="N38" t="s">
        <v>105</v>
      </c>
      <c r="O38" t="str">
        <f t="shared" si="0"/>
        <v>Indianapolis Colts</v>
      </c>
    </row>
    <row r="39" spans="1:18" x14ac:dyDescent="0.25">
      <c r="A39" t="s">
        <v>105</v>
      </c>
      <c r="B39" t="s">
        <v>148</v>
      </c>
      <c r="C39" t="s">
        <v>244</v>
      </c>
      <c r="D39" t="s">
        <v>149</v>
      </c>
      <c r="E39" t="s">
        <v>82</v>
      </c>
      <c r="F39" t="s">
        <v>100</v>
      </c>
      <c r="G39" t="s">
        <v>74</v>
      </c>
      <c r="H39" t="s">
        <v>145</v>
      </c>
      <c r="I39" t="s">
        <v>101</v>
      </c>
      <c r="J39" t="s">
        <v>110</v>
      </c>
      <c r="K39" t="s">
        <v>317</v>
      </c>
      <c r="L39" t="s">
        <v>117</v>
      </c>
      <c r="M39" t="s">
        <v>318</v>
      </c>
      <c r="N39" t="s">
        <v>117</v>
      </c>
      <c r="O39" t="str">
        <f t="shared" si="0"/>
        <v>New York Giants</v>
      </c>
    </row>
    <row r="40" spans="1:18" x14ac:dyDescent="0.25">
      <c r="A40" t="s">
        <v>105</v>
      </c>
      <c r="B40" t="s">
        <v>148</v>
      </c>
      <c r="C40" t="s">
        <v>244</v>
      </c>
      <c r="D40" t="s">
        <v>149</v>
      </c>
      <c r="E40" t="s">
        <v>77</v>
      </c>
      <c r="F40" t="s">
        <v>100</v>
      </c>
      <c r="G40" t="s">
        <v>91</v>
      </c>
      <c r="H40" t="s">
        <v>145</v>
      </c>
      <c r="I40" t="s">
        <v>123</v>
      </c>
      <c r="J40" t="s">
        <v>111</v>
      </c>
      <c r="K40" t="s">
        <v>185</v>
      </c>
      <c r="L40" t="s">
        <v>99</v>
      </c>
      <c r="M40" t="s">
        <v>319</v>
      </c>
      <c r="N40" t="s">
        <v>117</v>
      </c>
      <c r="O40" t="str">
        <f t="shared" si="0"/>
        <v>Tampa Bay Buccaneers</v>
      </c>
    </row>
    <row r="41" spans="1:18" x14ac:dyDescent="0.25">
      <c r="A41" t="s">
        <v>105</v>
      </c>
      <c r="B41" t="s">
        <v>148</v>
      </c>
      <c r="C41" t="s">
        <v>244</v>
      </c>
      <c r="D41" t="s">
        <v>149</v>
      </c>
      <c r="E41" t="s">
        <v>80</v>
      </c>
      <c r="F41" t="s">
        <v>100</v>
      </c>
      <c r="G41" t="s">
        <v>72</v>
      </c>
      <c r="H41" t="s">
        <v>145</v>
      </c>
      <c r="I41" t="s">
        <v>320</v>
      </c>
      <c r="J41" t="s">
        <v>133</v>
      </c>
      <c r="K41" t="s">
        <v>321</v>
      </c>
      <c r="L41" t="s">
        <v>115</v>
      </c>
      <c r="M41" t="s">
        <v>322</v>
      </c>
      <c r="N41" t="s">
        <v>105</v>
      </c>
      <c r="O41" t="str">
        <f t="shared" si="0"/>
        <v>Green Bay Packers</v>
      </c>
    </row>
    <row r="42" spans="1:18" x14ac:dyDescent="0.25">
      <c r="A42" t="s">
        <v>105</v>
      </c>
      <c r="B42" t="s">
        <v>148</v>
      </c>
      <c r="C42" t="s">
        <v>244</v>
      </c>
      <c r="D42" t="s">
        <v>149</v>
      </c>
      <c r="E42" t="s">
        <v>63</v>
      </c>
      <c r="F42" t="s">
        <v>177</v>
      </c>
      <c r="G42" t="s">
        <v>68</v>
      </c>
      <c r="H42" t="s">
        <v>145</v>
      </c>
      <c r="I42" t="s">
        <v>113</v>
      </c>
      <c r="J42" t="s">
        <v>111</v>
      </c>
      <c r="K42" t="s">
        <v>323</v>
      </c>
      <c r="L42" t="s">
        <v>115</v>
      </c>
      <c r="M42" t="s">
        <v>204</v>
      </c>
      <c r="N42" t="s">
        <v>117</v>
      </c>
      <c r="O42" t="str">
        <f t="shared" si="0"/>
        <v>Houston Texans</v>
      </c>
    </row>
    <row r="43" spans="1:18" x14ac:dyDescent="0.25">
      <c r="A43" t="s">
        <v>105</v>
      </c>
      <c r="B43" t="s">
        <v>148</v>
      </c>
      <c r="C43" t="s">
        <v>244</v>
      </c>
      <c r="D43" t="s">
        <v>149</v>
      </c>
      <c r="E43" t="s">
        <v>89</v>
      </c>
      <c r="F43" t="s">
        <v>100</v>
      </c>
      <c r="G43" t="s">
        <v>87</v>
      </c>
      <c r="H43" t="s">
        <v>145</v>
      </c>
      <c r="I43" t="s">
        <v>110</v>
      </c>
      <c r="J43" t="s">
        <v>124</v>
      </c>
      <c r="K43" t="s">
        <v>324</v>
      </c>
      <c r="L43" t="s">
        <v>117</v>
      </c>
      <c r="M43" t="s">
        <v>325</v>
      </c>
      <c r="N43" t="s">
        <v>99</v>
      </c>
      <c r="O43" t="str">
        <f t="shared" si="0"/>
        <v>Philadelphia Eagles</v>
      </c>
    </row>
    <row r="44" spans="1:18" x14ac:dyDescent="0.25">
      <c r="A44" t="s">
        <v>105</v>
      </c>
      <c r="B44" t="s">
        <v>148</v>
      </c>
      <c r="C44" t="s">
        <v>244</v>
      </c>
      <c r="D44" t="s">
        <v>149</v>
      </c>
      <c r="E44" t="s">
        <v>73</v>
      </c>
      <c r="F44" t="s">
        <v>177</v>
      </c>
      <c r="G44" t="s">
        <v>79</v>
      </c>
      <c r="H44" t="s">
        <v>145</v>
      </c>
      <c r="I44" t="s">
        <v>102</v>
      </c>
      <c r="J44" t="s">
        <v>112</v>
      </c>
      <c r="K44" t="s">
        <v>326</v>
      </c>
      <c r="L44" t="s">
        <v>99</v>
      </c>
      <c r="M44" t="s">
        <v>327</v>
      </c>
      <c r="N44" t="s">
        <v>115</v>
      </c>
      <c r="O44" t="str">
        <f t="shared" si="0"/>
        <v>Pittsburgh Steelers</v>
      </c>
    </row>
    <row r="45" spans="1:18" x14ac:dyDescent="0.25">
      <c r="A45" t="s">
        <v>105</v>
      </c>
      <c r="B45" t="s">
        <v>148</v>
      </c>
      <c r="C45" t="s">
        <v>244</v>
      </c>
      <c r="D45" t="s">
        <v>150</v>
      </c>
      <c r="E45" t="s">
        <v>69</v>
      </c>
      <c r="F45" t="s">
        <v>100</v>
      </c>
      <c r="G45" t="s">
        <v>84</v>
      </c>
      <c r="H45" t="s">
        <v>145</v>
      </c>
      <c r="I45" t="s">
        <v>328</v>
      </c>
      <c r="J45" t="s">
        <v>116</v>
      </c>
      <c r="K45" t="s">
        <v>329</v>
      </c>
      <c r="L45" t="s">
        <v>115</v>
      </c>
      <c r="M45" t="s">
        <v>330</v>
      </c>
      <c r="N45" t="s">
        <v>99</v>
      </c>
      <c r="O45" t="str">
        <f t="shared" si="0"/>
        <v>Carolina Panthers</v>
      </c>
    </row>
    <row r="46" spans="1:18" x14ac:dyDescent="0.25">
      <c r="A46" t="s">
        <v>105</v>
      </c>
      <c r="B46" t="s">
        <v>148</v>
      </c>
      <c r="C46" t="s">
        <v>244</v>
      </c>
      <c r="D46" t="s">
        <v>150</v>
      </c>
      <c r="E46" t="s">
        <v>81</v>
      </c>
      <c r="F46" t="s">
        <v>177</v>
      </c>
      <c r="G46" t="s">
        <v>86</v>
      </c>
      <c r="H46" t="s">
        <v>145</v>
      </c>
      <c r="I46" t="s">
        <v>104</v>
      </c>
      <c r="J46" t="s">
        <v>105</v>
      </c>
      <c r="K46" t="s">
        <v>331</v>
      </c>
      <c r="L46" t="s">
        <v>117</v>
      </c>
      <c r="M46" t="s">
        <v>241</v>
      </c>
      <c r="N46" t="s">
        <v>115</v>
      </c>
      <c r="O46" t="str">
        <f t="shared" si="0"/>
        <v>Miami Dolphins</v>
      </c>
    </row>
    <row r="47" spans="1:18" x14ac:dyDescent="0.25">
      <c r="A47" t="s">
        <v>105</v>
      </c>
      <c r="B47" t="s">
        <v>148</v>
      </c>
      <c r="C47" t="s">
        <v>244</v>
      </c>
      <c r="D47" t="s">
        <v>151</v>
      </c>
      <c r="E47" t="s">
        <v>78</v>
      </c>
      <c r="F47" t="s">
        <v>100</v>
      </c>
      <c r="G47" t="s">
        <v>62</v>
      </c>
      <c r="H47" t="s">
        <v>145</v>
      </c>
      <c r="I47" t="s">
        <v>102</v>
      </c>
      <c r="J47" t="s">
        <v>114</v>
      </c>
      <c r="K47" t="s">
        <v>332</v>
      </c>
      <c r="L47" t="s">
        <v>99</v>
      </c>
      <c r="M47" t="s">
        <v>333</v>
      </c>
      <c r="N47" t="s">
        <v>99</v>
      </c>
      <c r="O47" t="str">
        <f t="shared" si="0"/>
        <v>Detroit Lions</v>
      </c>
    </row>
    <row r="48" spans="1:18" x14ac:dyDescent="0.25">
      <c r="A48" t="s">
        <v>105</v>
      </c>
      <c r="B48" t="s">
        <v>148</v>
      </c>
      <c r="C48" t="s">
        <v>244</v>
      </c>
      <c r="D48" t="s">
        <v>151</v>
      </c>
      <c r="E48" t="s">
        <v>65</v>
      </c>
      <c r="F48" t="s">
        <v>100</v>
      </c>
      <c r="G48" t="s">
        <v>75</v>
      </c>
      <c r="H48" t="s">
        <v>145</v>
      </c>
      <c r="I48" t="s">
        <v>118</v>
      </c>
      <c r="J48" t="s">
        <v>106</v>
      </c>
      <c r="K48" t="s">
        <v>334</v>
      </c>
      <c r="L48" t="s">
        <v>115</v>
      </c>
      <c r="M48" t="s">
        <v>335</v>
      </c>
      <c r="N48" t="s">
        <v>99</v>
      </c>
      <c r="O48" t="str">
        <f t="shared" si="0"/>
        <v>Baltimore Ravens</v>
      </c>
    </row>
    <row r="49" spans="1:16" x14ac:dyDescent="0.25">
      <c r="A49" t="s">
        <v>105</v>
      </c>
      <c r="B49" t="s">
        <v>148</v>
      </c>
      <c r="C49" t="s">
        <v>244</v>
      </c>
      <c r="D49" t="s">
        <v>151</v>
      </c>
      <c r="E49" t="s">
        <v>85</v>
      </c>
      <c r="F49" t="s">
        <v>177</v>
      </c>
      <c r="G49" t="s">
        <v>90</v>
      </c>
      <c r="H49" t="s">
        <v>145</v>
      </c>
      <c r="I49" t="s">
        <v>119</v>
      </c>
      <c r="J49" t="s">
        <v>104</v>
      </c>
      <c r="K49" t="s">
        <v>204</v>
      </c>
      <c r="L49" t="s">
        <v>115</v>
      </c>
      <c r="M49" t="s">
        <v>233</v>
      </c>
      <c r="N49" t="s">
        <v>99</v>
      </c>
      <c r="O49" t="str">
        <f t="shared" si="0"/>
        <v>Los Angeles Rams</v>
      </c>
    </row>
    <row r="50" spans="1:16" x14ac:dyDescent="0.25">
      <c r="A50" t="s">
        <v>105</v>
      </c>
      <c r="B50" t="s">
        <v>148</v>
      </c>
      <c r="C50" t="s">
        <v>244</v>
      </c>
      <c r="D50" t="s">
        <v>144</v>
      </c>
      <c r="E50" t="s">
        <v>61</v>
      </c>
      <c r="F50" t="s">
        <v>100</v>
      </c>
      <c r="G50" t="s">
        <v>64</v>
      </c>
      <c r="H50" t="s">
        <v>145</v>
      </c>
      <c r="I50" t="s">
        <v>116</v>
      </c>
      <c r="J50" t="s">
        <v>108</v>
      </c>
      <c r="K50" t="s">
        <v>336</v>
      </c>
      <c r="L50" t="s">
        <v>99</v>
      </c>
      <c r="M50" t="s">
        <v>337</v>
      </c>
      <c r="N50" t="s">
        <v>99</v>
      </c>
      <c r="O50" t="str">
        <f t="shared" si="0"/>
        <v>Kansas City Chiefs</v>
      </c>
    </row>
    <row r="51" spans="1:16" x14ac:dyDescent="0.25">
      <c r="A51" t="s">
        <v>105</v>
      </c>
      <c r="B51" t="s">
        <v>152</v>
      </c>
      <c r="C51" t="s">
        <v>245</v>
      </c>
      <c r="D51" t="s">
        <v>154</v>
      </c>
      <c r="E51" t="s">
        <v>67</v>
      </c>
      <c r="F51" t="s">
        <v>177</v>
      </c>
      <c r="G51" t="s">
        <v>83</v>
      </c>
      <c r="H51" t="s">
        <v>145</v>
      </c>
      <c r="I51" t="s">
        <v>187</v>
      </c>
      <c r="J51" t="s">
        <v>112</v>
      </c>
      <c r="K51" t="s">
        <v>338</v>
      </c>
      <c r="L51" t="s">
        <v>115</v>
      </c>
      <c r="M51" t="s">
        <v>339</v>
      </c>
      <c r="N51" t="s">
        <v>117</v>
      </c>
      <c r="O51" t="str">
        <f t="shared" si="0"/>
        <v>Buffalo Bills</v>
      </c>
      <c r="P51">
        <v>7</v>
      </c>
    </row>
    <row r="52" spans="1:16" x14ac:dyDescent="0.25">
      <c r="A52" t="s">
        <v>105</v>
      </c>
      <c r="B52" t="s">
        <v>152</v>
      </c>
      <c r="C52" t="s">
        <v>245</v>
      </c>
      <c r="D52" t="s">
        <v>147</v>
      </c>
      <c r="E52" t="s">
        <v>92</v>
      </c>
      <c r="F52" t="s">
        <v>100</v>
      </c>
      <c r="G52" t="s">
        <v>70</v>
      </c>
      <c r="H52" t="s">
        <v>145</v>
      </c>
      <c r="I52" t="s">
        <v>340</v>
      </c>
      <c r="J52" t="s">
        <v>122</v>
      </c>
      <c r="K52" t="s">
        <v>341</v>
      </c>
      <c r="L52" t="s">
        <v>115</v>
      </c>
      <c r="M52" t="s">
        <v>342</v>
      </c>
      <c r="N52" t="s">
        <v>115</v>
      </c>
      <c r="O52" t="str">
        <f t="shared" si="0"/>
        <v>Washington Commanders</v>
      </c>
      <c r="P52">
        <v>8</v>
      </c>
    </row>
    <row r="53" spans="1:16" x14ac:dyDescent="0.25">
      <c r="A53" t="s">
        <v>95</v>
      </c>
      <c r="B53" t="s">
        <v>137</v>
      </c>
      <c r="C53" t="s">
        <v>58</v>
      </c>
      <c r="D53" t="s">
        <v>138</v>
      </c>
      <c r="E53" t="s">
        <v>59</v>
      </c>
      <c r="F53" t="s">
        <v>177</v>
      </c>
      <c r="G53" t="s">
        <v>60</v>
      </c>
      <c r="H53" t="s">
        <v>177</v>
      </c>
      <c r="I53" t="s">
        <v>97</v>
      </c>
      <c r="J53" t="s">
        <v>98</v>
      </c>
      <c r="K53" t="s">
        <v>139</v>
      </c>
      <c r="L53" t="s">
        <v>140</v>
      </c>
      <c r="M53" t="s">
        <v>141</v>
      </c>
      <c r="N53" t="s">
        <v>142</v>
      </c>
      <c r="O53" t="str">
        <f t="shared" si="0"/>
        <v>Winner/tie</v>
      </c>
    </row>
    <row r="54" spans="1:16" x14ac:dyDescent="0.25">
      <c r="A54" t="s">
        <v>130</v>
      </c>
      <c r="B54" t="s">
        <v>143</v>
      </c>
      <c r="C54" t="s">
        <v>246</v>
      </c>
      <c r="D54" t="s">
        <v>147</v>
      </c>
      <c r="E54" t="s">
        <v>75</v>
      </c>
      <c r="F54" t="s">
        <v>100</v>
      </c>
      <c r="G54" t="s">
        <v>82</v>
      </c>
      <c r="H54" t="s">
        <v>145</v>
      </c>
      <c r="I54" t="s">
        <v>102</v>
      </c>
      <c r="J54" t="s">
        <v>110</v>
      </c>
      <c r="K54" t="s">
        <v>343</v>
      </c>
      <c r="L54" t="s">
        <v>115</v>
      </c>
      <c r="M54" t="s">
        <v>200</v>
      </c>
      <c r="N54" t="s">
        <v>99</v>
      </c>
      <c r="O54" t="str">
        <f t="shared" si="0"/>
        <v>Dallas Cowboys</v>
      </c>
      <c r="P54">
        <v>9</v>
      </c>
    </row>
    <row r="55" spans="1:16" x14ac:dyDescent="0.25">
      <c r="A55" t="s">
        <v>130</v>
      </c>
      <c r="B55" t="s">
        <v>148</v>
      </c>
      <c r="C55" t="s">
        <v>247</v>
      </c>
      <c r="D55" t="s">
        <v>149</v>
      </c>
      <c r="E55" t="s">
        <v>64</v>
      </c>
      <c r="F55" t="s">
        <v>177</v>
      </c>
      <c r="G55" t="s">
        <v>87</v>
      </c>
      <c r="H55" t="s">
        <v>145</v>
      </c>
      <c r="I55" t="s">
        <v>123</v>
      </c>
      <c r="J55" t="s">
        <v>104</v>
      </c>
      <c r="K55" t="s">
        <v>344</v>
      </c>
      <c r="L55" t="s">
        <v>99</v>
      </c>
      <c r="M55" t="s">
        <v>345</v>
      </c>
      <c r="N55" t="s">
        <v>117</v>
      </c>
      <c r="O55" t="str">
        <f t="shared" si="0"/>
        <v>Atlanta Falcons</v>
      </c>
    </row>
    <row r="56" spans="1:16" x14ac:dyDescent="0.25">
      <c r="A56" t="s">
        <v>130</v>
      </c>
      <c r="B56" t="s">
        <v>148</v>
      </c>
      <c r="C56" t="s">
        <v>247</v>
      </c>
      <c r="D56" t="s">
        <v>149</v>
      </c>
      <c r="E56" t="s">
        <v>70</v>
      </c>
      <c r="F56" t="s">
        <v>100</v>
      </c>
      <c r="G56" t="s">
        <v>69</v>
      </c>
      <c r="H56" t="s">
        <v>145</v>
      </c>
      <c r="I56" t="s">
        <v>113</v>
      </c>
      <c r="J56" t="s">
        <v>104</v>
      </c>
      <c r="K56" t="s">
        <v>332</v>
      </c>
      <c r="L56" t="s">
        <v>99</v>
      </c>
      <c r="M56" t="s">
        <v>346</v>
      </c>
      <c r="N56" t="s">
        <v>99</v>
      </c>
      <c r="O56" t="str">
        <f t="shared" si="0"/>
        <v>Cincinnati Bengals</v>
      </c>
    </row>
    <row r="57" spans="1:16" x14ac:dyDescent="0.25">
      <c r="A57" t="s">
        <v>130</v>
      </c>
      <c r="B57" t="s">
        <v>148</v>
      </c>
      <c r="C57" t="s">
        <v>247</v>
      </c>
      <c r="D57" t="s">
        <v>149</v>
      </c>
      <c r="E57" t="s">
        <v>71</v>
      </c>
      <c r="F57" t="s">
        <v>177</v>
      </c>
      <c r="G57" t="s">
        <v>85</v>
      </c>
      <c r="H57" t="s">
        <v>145</v>
      </c>
      <c r="I57" t="s">
        <v>104</v>
      </c>
      <c r="J57" t="s">
        <v>126</v>
      </c>
      <c r="K57" t="s">
        <v>347</v>
      </c>
      <c r="L57" t="s">
        <v>115</v>
      </c>
      <c r="M57" t="s">
        <v>348</v>
      </c>
      <c r="N57" t="s">
        <v>117</v>
      </c>
      <c r="O57" t="str">
        <f t="shared" si="0"/>
        <v>Chicago Bears</v>
      </c>
    </row>
    <row r="58" spans="1:16" x14ac:dyDescent="0.25">
      <c r="A58" t="s">
        <v>130</v>
      </c>
      <c r="B58" t="s">
        <v>148</v>
      </c>
      <c r="C58" t="s">
        <v>247</v>
      </c>
      <c r="D58" t="s">
        <v>149</v>
      </c>
      <c r="E58" t="s">
        <v>66</v>
      </c>
      <c r="F58" t="s">
        <v>177</v>
      </c>
      <c r="G58" t="s">
        <v>73</v>
      </c>
      <c r="H58" t="s">
        <v>145</v>
      </c>
      <c r="I58" t="s">
        <v>119</v>
      </c>
      <c r="J58" t="s">
        <v>104</v>
      </c>
      <c r="K58" t="s">
        <v>231</v>
      </c>
      <c r="L58" t="s">
        <v>115</v>
      </c>
      <c r="M58" t="s">
        <v>349</v>
      </c>
      <c r="N58" t="s">
        <v>117</v>
      </c>
      <c r="O58" t="str">
        <f t="shared" si="0"/>
        <v>Indianapolis Colts</v>
      </c>
    </row>
    <row r="59" spans="1:16" x14ac:dyDescent="0.25">
      <c r="A59" t="s">
        <v>130</v>
      </c>
      <c r="B59" t="s">
        <v>148</v>
      </c>
      <c r="C59" t="s">
        <v>247</v>
      </c>
      <c r="D59" t="s">
        <v>149</v>
      </c>
      <c r="E59" t="s">
        <v>77</v>
      </c>
      <c r="F59" t="s">
        <v>100</v>
      </c>
      <c r="G59" t="s">
        <v>88</v>
      </c>
      <c r="H59" t="s">
        <v>145</v>
      </c>
      <c r="I59" t="s">
        <v>112</v>
      </c>
      <c r="J59" t="s">
        <v>107</v>
      </c>
      <c r="K59" t="s">
        <v>350</v>
      </c>
      <c r="L59" t="s">
        <v>99</v>
      </c>
      <c r="M59" t="s">
        <v>351</v>
      </c>
      <c r="N59" t="s">
        <v>99</v>
      </c>
      <c r="O59" t="str">
        <f t="shared" si="0"/>
        <v>New York Jets</v>
      </c>
    </row>
    <row r="60" spans="1:16" x14ac:dyDescent="0.25">
      <c r="A60" t="s">
        <v>130</v>
      </c>
      <c r="B60" t="s">
        <v>148</v>
      </c>
      <c r="C60" t="s">
        <v>247</v>
      </c>
      <c r="D60" t="s">
        <v>149</v>
      </c>
      <c r="E60" t="s">
        <v>63</v>
      </c>
      <c r="F60" t="s">
        <v>100</v>
      </c>
      <c r="G60" t="s">
        <v>80</v>
      </c>
      <c r="H60" t="s">
        <v>145</v>
      </c>
      <c r="I60" t="s">
        <v>103</v>
      </c>
      <c r="J60" t="s">
        <v>131</v>
      </c>
      <c r="K60" t="s">
        <v>352</v>
      </c>
      <c r="L60" t="s">
        <v>105</v>
      </c>
      <c r="M60" t="s">
        <v>353</v>
      </c>
      <c r="N60" t="s">
        <v>130</v>
      </c>
      <c r="O60" t="str">
        <f t="shared" si="0"/>
        <v>Minnesota Vikings</v>
      </c>
    </row>
    <row r="61" spans="1:16" x14ac:dyDescent="0.25">
      <c r="A61" t="s">
        <v>130</v>
      </c>
      <c r="B61" t="s">
        <v>148</v>
      </c>
      <c r="C61" t="s">
        <v>247</v>
      </c>
      <c r="D61" t="s">
        <v>149</v>
      </c>
      <c r="E61" t="s">
        <v>68</v>
      </c>
      <c r="F61" t="s">
        <v>177</v>
      </c>
      <c r="G61" t="s">
        <v>83</v>
      </c>
      <c r="H61" t="s">
        <v>145</v>
      </c>
      <c r="I61" t="s">
        <v>104</v>
      </c>
      <c r="J61" t="s">
        <v>102</v>
      </c>
      <c r="K61" t="s">
        <v>354</v>
      </c>
      <c r="L61" t="s">
        <v>99</v>
      </c>
      <c r="M61" t="s">
        <v>355</v>
      </c>
      <c r="N61" t="s">
        <v>115</v>
      </c>
      <c r="O61" t="str">
        <f t="shared" si="0"/>
        <v>Houston Texans</v>
      </c>
    </row>
    <row r="62" spans="1:16" x14ac:dyDescent="0.25">
      <c r="A62" t="s">
        <v>130</v>
      </c>
      <c r="B62" t="s">
        <v>148</v>
      </c>
      <c r="C62" t="s">
        <v>247</v>
      </c>
      <c r="D62" t="s">
        <v>149</v>
      </c>
      <c r="E62" t="s">
        <v>91</v>
      </c>
      <c r="F62" t="s">
        <v>177</v>
      </c>
      <c r="G62" t="s">
        <v>89</v>
      </c>
      <c r="H62" t="s">
        <v>145</v>
      </c>
      <c r="I62" t="s">
        <v>122</v>
      </c>
      <c r="J62" t="s">
        <v>109</v>
      </c>
      <c r="K62" t="s">
        <v>356</v>
      </c>
      <c r="L62" t="s">
        <v>115</v>
      </c>
      <c r="M62" t="s">
        <v>357</v>
      </c>
      <c r="N62" t="s">
        <v>117</v>
      </c>
      <c r="O62" t="str">
        <f t="shared" si="0"/>
        <v>Tampa Bay Buccaneers</v>
      </c>
    </row>
    <row r="63" spans="1:16" x14ac:dyDescent="0.25">
      <c r="A63" t="s">
        <v>130</v>
      </c>
      <c r="B63" t="s">
        <v>148</v>
      </c>
      <c r="C63" t="s">
        <v>247</v>
      </c>
      <c r="D63" t="s">
        <v>150</v>
      </c>
      <c r="E63" t="s">
        <v>92</v>
      </c>
      <c r="F63" t="s">
        <v>100</v>
      </c>
      <c r="G63" t="s">
        <v>62</v>
      </c>
      <c r="H63" t="s">
        <v>145</v>
      </c>
      <c r="I63" t="s">
        <v>358</v>
      </c>
      <c r="J63" t="s">
        <v>133</v>
      </c>
      <c r="K63" t="s">
        <v>359</v>
      </c>
      <c r="L63" t="s">
        <v>99</v>
      </c>
      <c r="M63" t="s">
        <v>204</v>
      </c>
      <c r="N63" t="s">
        <v>99</v>
      </c>
      <c r="O63" t="str">
        <f t="shared" si="0"/>
        <v>Washington Commanders</v>
      </c>
    </row>
    <row r="64" spans="1:16" x14ac:dyDescent="0.25">
      <c r="A64" t="s">
        <v>130</v>
      </c>
      <c r="B64" t="s">
        <v>148</v>
      </c>
      <c r="C64" t="s">
        <v>247</v>
      </c>
      <c r="D64" t="s">
        <v>150</v>
      </c>
      <c r="E64" t="s">
        <v>90</v>
      </c>
      <c r="F64" t="s">
        <v>177</v>
      </c>
      <c r="G64" t="s">
        <v>76</v>
      </c>
      <c r="H64" t="s">
        <v>145</v>
      </c>
      <c r="I64" t="s">
        <v>320</v>
      </c>
      <c r="J64" t="s">
        <v>114</v>
      </c>
      <c r="K64" t="s">
        <v>360</v>
      </c>
      <c r="L64" t="s">
        <v>117</v>
      </c>
      <c r="M64" t="s">
        <v>225</v>
      </c>
      <c r="N64" t="s">
        <v>105</v>
      </c>
      <c r="O64" t="str">
        <f t="shared" si="0"/>
        <v>San Francisco 49ers</v>
      </c>
    </row>
    <row r="65" spans="1:16" x14ac:dyDescent="0.25">
      <c r="A65" t="s">
        <v>130</v>
      </c>
      <c r="B65" t="s">
        <v>148</v>
      </c>
      <c r="C65" t="s">
        <v>247</v>
      </c>
      <c r="D65" t="s">
        <v>151</v>
      </c>
      <c r="E65" t="s">
        <v>84</v>
      </c>
      <c r="F65" t="s">
        <v>177</v>
      </c>
      <c r="G65" t="s">
        <v>74</v>
      </c>
      <c r="H65" t="s">
        <v>145</v>
      </c>
      <c r="I65" t="s">
        <v>102</v>
      </c>
      <c r="J65" t="s">
        <v>109</v>
      </c>
      <c r="K65" t="s">
        <v>361</v>
      </c>
      <c r="L65" t="s">
        <v>99</v>
      </c>
      <c r="M65" t="s">
        <v>362</v>
      </c>
      <c r="N65" t="s">
        <v>99</v>
      </c>
      <c r="O65" t="str">
        <f t="shared" si="0"/>
        <v>Las Vegas Raiders</v>
      </c>
    </row>
    <row r="66" spans="1:16" x14ac:dyDescent="0.25">
      <c r="A66" t="s">
        <v>130</v>
      </c>
      <c r="B66" t="s">
        <v>148</v>
      </c>
      <c r="C66" t="s">
        <v>247</v>
      </c>
      <c r="D66" t="s">
        <v>151</v>
      </c>
      <c r="E66" t="s">
        <v>61</v>
      </c>
      <c r="F66" t="s">
        <v>100</v>
      </c>
      <c r="G66" t="s">
        <v>79</v>
      </c>
      <c r="H66" t="s">
        <v>145</v>
      </c>
      <c r="I66" t="s">
        <v>108</v>
      </c>
      <c r="J66" t="s">
        <v>112</v>
      </c>
      <c r="K66" t="s">
        <v>363</v>
      </c>
      <c r="L66" t="s">
        <v>117</v>
      </c>
      <c r="M66" t="s">
        <v>195</v>
      </c>
      <c r="N66" t="s">
        <v>115</v>
      </c>
      <c r="O66" t="str">
        <f t="shared" ref="O66:O129" si="1">IF(I66&gt;J66, E66, IF(I66&lt;J66, G66, "Tie"))</f>
        <v>Kansas City Chiefs</v>
      </c>
    </row>
    <row r="67" spans="1:16" x14ac:dyDescent="0.25">
      <c r="A67" t="s">
        <v>130</v>
      </c>
      <c r="B67" t="s">
        <v>148</v>
      </c>
      <c r="C67" t="s">
        <v>247</v>
      </c>
      <c r="D67" t="s">
        <v>144</v>
      </c>
      <c r="E67" t="s">
        <v>65</v>
      </c>
      <c r="F67" t="s">
        <v>177</v>
      </c>
      <c r="G67" t="s">
        <v>67</v>
      </c>
      <c r="H67" t="s">
        <v>145</v>
      </c>
      <c r="I67" t="s">
        <v>364</v>
      </c>
      <c r="J67" t="s">
        <v>112</v>
      </c>
      <c r="K67" t="s">
        <v>365</v>
      </c>
      <c r="L67" t="s">
        <v>99</v>
      </c>
      <c r="M67" t="s">
        <v>366</v>
      </c>
      <c r="N67" t="s">
        <v>99</v>
      </c>
      <c r="O67" t="str">
        <f t="shared" si="1"/>
        <v>Baltimore Ravens</v>
      </c>
    </row>
    <row r="68" spans="1:16" x14ac:dyDescent="0.25">
      <c r="A68" t="s">
        <v>130</v>
      </c>
      <c r="B68" t="s">
        <v>152</v>
      </c>
      <c r="C68" t="s">
        <v>248</v>
      </c>
      <c r="D68" t="s">
        <v>154</v>
      </c>
      <c r="E68" t="s">
        <v>72</v>
      </c>
      <c r="F68" t="s">
        <v>100</v>
      </c>
      <c r="G68" t="s">
        <v>86</v>
      </c>
      <c r="H68" t="s">
        <v>145</v>
      </c>
      <c r="I68" t="s">
        <v>103</v>
      </c>
      <c r="J68" t="s">
        <v>124</v>
      </c>
      <c r="K68" t="s">
        <v>193</v>
      </c>
      <c r="L68" t="s">
        <v>99</v>
      </c>
      <c r="M68" t="s">
        <v>367</v>
      </c>
      <c r="N68" t="s">
        <v>99</v>
      </c>
      <c r="O68" t="str">
        <f t="shared" si="1"/>
        <v>Tennessee Titans</v>
      </c>
      <c r="P68">
        <v>10</v>
      </c>
    </row>
    <row r="69" spans="1:16" x14ac:dyDescent="0.25">
      <c r="A69" t="s">
        <v>130</v>
      </c>
      <c r="B69" t="s">
        <v>152</v>
      </c>
      <c r="C69" t="s">
        <v>248</v>
      </c>
      <c r="D69" t="s">
        <v>147</v>
      </c>
      <c r="E69" t="s">
        <v>78</v>
      </c>
      <c r="F69" t="s">
        <v>177</v>
      </c>
      <c r="G69" t="s">
        <v>81</v>
      </c>
      <c r="H69" t="s">
        <v>145</v>
      </c>
      <c r="I69" t="s">
        <v>358</v>
      </c>
      <c r="J69" t="s">
        <v>131</v>
      </c>
      <c r="K69" t="s">
        <v>368</v>
      </c>
      <c r="L69" t="s">
        <v>115</v>
      </c>
      <c r="M69" t="s">
        <v>369</v>
      </c>
      <c r="N69" t="s">
        <v>117</v>
      </c>
      <c r="O69" t="str">
        <f t="shared" si="1"/>
        <v>Detroit Lions</v>
      </c>
    </row>
    <row r="70" spans="1:16" x14ac:dyDescent="0.25">
      <c r="A70" t="s">
        <v>95</v>
      </c>
      <c r="B70" t="s">
        <v>137</v>
      </c>
      <c r="C70" t="s">
        <v>58</v>
      </c>
      <c r="D70" t="s">
        <v>138</v>
      </c>
      <c r="E70" t="s">
        <v>59</v>
      </c>
      <c r="F70" t="s">
        <v>177</v>
      </c>
      <c r="G70" t="s">
        <v>60</v>
      </c>
      <c r="H70" t="s">
        <v>177</v>
      </c>
      <c r="I70" t="s">
        <v>97</v>
      </c>
      <c r="J70" t="s">
        <v>98</v>
      </c>
      <c r="K70" t="s">
        <v>139</v>
      </c>
      <c r="L70" t="s">
        <v>140</v>
      </c>
      <c r="M70" t="s">
        <v>141</v>
      </c>
      <c r="N70" t="s">
        <v>142</v>
      </c>
      <c r="O70" t="str">
        <f t="shared" si="1"/>
        <v>Winner/tie</v>
      </c>
    </row>
    <row r="71" spans="1:16" x14ac:dyDescent="0.25">
      <c r="A71" t="s">
        <v>132</v>
      </c>
      <c r="B71" t="s">
        <v>143</v>
      </c>
      <c r="C71" t="s">
        <v>249</v>
      </c>
      <c r="D71" t="s">
        <v>147</v>
      </c>
      <c r="E71" t="s">
        <v>64</v>
      </c>
      <c r="F71" t="s">
        <v>177</v>
      </c>
      <c r="G71" t="s">
        <v>91</v>
      </c>
      <c r="H71" t="s">
        <v>145</v>
      </c>
      <c r="I71" t="s">
        <v>328</v>
      </c>
      <c r="J71" t="s">
        <v>320</v>
      </c>
      <c r="K71" t="s">
        <v>370</v>
      </c>
      <c r="L71" t="s">
        <v>99</v>
      </c>
      <c r="M71" t="s">
        <v>371</v>
      </c>
      <c r="N71" t="s">
        <v>99</v>
      </c>
      <c r="O71" t="str">
        <f t="shared" si="1"/>
        <v>Atlanta Falcons</v>
      </c>
      <c r="P71">
        <v>11</v>
      </c>
    </row>
    <row r="72" spans="1:16" x14ac:dyDescent="0.25">
      <c r="A72" t="s">
        <v>132</v>
      </c>
      <c r="B72" t="s">
        <v>148</v>
      </c>
      <c r="C72" t="s">
        <v>250</v>
      </c>
      <c r="D72" t="s">
        <v>155</v>
      </c>
      <c r="E72" t="s">
        <v>63</v>
      </c>
      <c r="F72" t="s">
        <v>177</v>
      </c>
      <c r="G72" t="s">
        <v>88</v>
      </c>
      <c r="H72" t="s">
        <v>145</v>
      </c>
      <c r="I72" t="s">
        <v>121</v>
      </c>
      <c r="J72" t="s">
        <v>108</v>
      </c>
      <c r="K72" t="s">
        <v>372</v>
      </c>
      <c r="L72" t="s">
        <v>117</v>
      </c>
      <c r="M72" t="s">
        <v>373</v>
      </c>
      <c r="N72" t="s">
        <v>105</v>
      </c>
      <c r="O72" t="str">
        <f t="shared" si="1"/>
        <v>Minnesota Vikings</v>
      </c>
    </row>
    <row r="73" spans="1:16" x14ac:dyDescent="0.25">
      <c r="A73" t="s">
        <v>132</v>
      </c>
      <c r="B73" t="s">
        <v>148</v>
      </c>
      <c r="C73" t="s">
        <v>250</v>
      </c>
      <c r="D73" t="s">
        <v>149</v>
      </c>
      <c r="E73" t="s">
        <v>68</v>
      </c>
      <c r="F73" t="s">
        <v>177</v>
      </c>
      <c r="G73" t="s">
        <v>67</v>
      </c>
      <c r="H73" t="s">
        <v>145</v>
      </c>
      <c r="I73" t="s">
        <v>121</v>
      </c>
      <c r="J73" t="s">
        <v>102</v>
      </c>
      <c r="K73" t="s">
        <v>233</v>
      </c>
      <c r="L73" t="s">
        <v>117</v>
      </c>
      <c r="M73" t="s">
        <v>374</v>
      </c>
      <c r="N73" t="s">
        <v>115</v>
      </c>
      <c r="O73" t="str">
        <f t="shared" si="1"/>
        <v>Houston Texans</v>
      </c>
    </row>
    <row r="74" spans="1:16" x14ac:dyDescent="0.25">
      <c r="A74" t="s">
        <v>132</v>
      </c>
      <c r="B74" t="s">
        <v>148</v>
      </c>
      <c r="C74" t="s">
        <v>250</v>
      </c>
      <c r="D74" t="s">
        <v>149</v>
      </c>
      <c r="E74" t="s">
        <v>71</v>
      </c>
      <c r="F74" t="s">
        <v>177</v>
      </c>
      <c r="G74" t="s">
        <v>69</v>
      </c>
      <c r="H74" t="s">
        <v>145</v>
      </c>
      <c r="I74" t="s">
        <v>328</v>
      </c>
      <c r="J74" t="s">
        <v>112</v>
      </c>
      <c r="K74" t="s">
        <v>375</v>
      </c>
      <c r="L74" t="s">
        <v>115</v>
      </c>
      <c r="M74" t="s">
        <v>376</v>
      </c>
      <c r="N74" t="s">
        <v>105</v>
      </c>
      <c r="O74" t="str">
        <f t="shared" si="1"/>
        <v>Chicago Bears</v>
      </c>
    </row>
    <row r="75" spans="1:16" x14ac:dyDescent="0.25">
      <c r="A75" t="s">
        <v>132</v>
      </c>
      <c r="B75" t="s">
        <v>148</v>
      </c>
      <c r="C75" t="s">
        <v>250</v>
      </c>
      <c r="D75" t="s">
        <v>149</v>
      </c>
      <c r="E75" t="s">
        <v>65</v>
      </c>
      <c r="F75" t="s">
        <v>100</v>
      </c>
      <c r="G75" t="s">
        <v>70</v>
      </c>
      <c r="H75" t="s">
        <v>145</v>
      </c>
      <c r="I75" t="s">
        <v>128</v>
      </c>
      <c r="J75" t="s">
        <v>340</v>
      </c>
      <c r="K75" t="s">
        <v>377</v>
      </c>
      <c r="L75" t="s">
        <v>99</v>
      </c>
      <c r="M75" t="s">
        <v>378</v>
      </c>
      <c r="N75" t="s">
        <v>99</v>
      </c>
      <c r="O75" t="str">
        <f t="shared" si="1"/>
        <v>Baltimore Ravens</v>
      </c>
    </row>
    <row r="76" spans="1:16" x14ac:dyDescent="0.25">
      <c r="A76" t="s">
        <v>132</v>
      </c>
      <c r="B76" t="s">
        <v>148</v>
      </c>
      <c r="C76" t="s">
        <v>250</v>
      </c>
      <c r="D76" t="s">
        <v>149</v>
      </c>
      <c r="E76" t="s">
        <v>92</v>
      </c>
      <c r="F76" t="s">
        <v>177</v>
      </c>
      <c r="G76" t="s">
        <v>74</v>
      </c>
      <c r="H76" t="s">
        <v>145</v>
      </c>
      <c r="I76" t="s">
        <v>113</v>
      </c>
      <c r="J76" t="s">
        <v>114</v>
      </c>
      <c r="K76" t="s">
        <v>379</v>
      </c>
      <c r="L76" t="s">
        <v>117</v>
      </c>
      <c r="M76" t="s">
        <v>380</v>
      </c>
      <c r="N76" t="s">
        <v>99</v>
      </c>
      <c r="O76" t="str">
        <f t="shared" si="1"/>
        <v>Washington Commanders</v>
      </c>
    </row>
    <row r="77" spans="1:16" x14ac:dyDescent="0.25">
      <c r="A77" t="s">
        <v>132</v>
      </c>
      <c r="B77" t="s">
        <v>148</v>
      </c>
      <c r="C77" t="s">
        <v>250</v>
      </c>
      <c r="D77" t="s">
        <v>149</v>
      </c>
      <c r="E77" t="s">
        <v>83</v>
      </c>
      <c r="F77" t="s">
        <v>177</v>
      </c>
      <c r="G77" t="s">
        <v>66</v>
      </c>
      <c r="H77" t="s">
        <v>145</v>
      </c>
      <c r="I77" t="s">
        <v>120</v>
      </c>
      <c r="J77" t="s">
        <v>113</v>
      </c>
      <c r="K77" t="s">
        <v>381</v>
      </c>
      <c r="L77" t="s">
        <v>117</v>
      </c>
      <c r="M77" t="s">
        <v>382</v>
      </c>
      <c r="N77" t="s">
        <v>99</v>
      </c>
      <c r="O77" t="str">
        <f t="shared" si="1"/>
        <v>Jacksonville Jaguars</v>
      </c>
    </row>
    <row r="78" spans="1:16" x14ac:dyDescent="0.25">
      <c r="A78" t="s">
        <v>132</v>
      </c>
      <c r="B78" t="s">
        <v>148</v>
      </c>
      <c r="C78" t="s">
        <v>250</v>
      </c>
      <c r="D78" t="s">
        <v>149</v>
      </c>
      <c r="E78" t="s">
        <v>86</v>
      </c>
      <c r="F78" t="s">
        <v>100</v>
      </c>
      <c r="G78" t="s">
        <v>76</v>
      </c>
      <c r="H78" t="s">
        <v>145</v>
      </c>
      <c r="I78" t="s">
        <v>110</v>
      </c>
      <c r="J78" t="s">
        <v>112</v>
      </c>
      <c r="K78" t="s">
        <v>383</v>
      </c>
      <c r="L78" t="s">
        <v>117</v>
      </c>
      <c r="M78" t="s">
        <v>206</v>
      </c>
      <c r="N78" t="s">
        <v>115</v>
      </c>
      <c r="O78" t="str">
        <f t="shared" si="1"/>
        <v>Miami Dolphins</v>
      </c>
    </row>
    <row r="79" spans="1:16" x14ac:dyDescent="0.25">
      <c r="A79" t="s">
        <v>132</v>
      </c>
      <c r="B79" t="s">
        <v>148</v>
      </c>
      <c r="C79" t="s">
        <v>250</v>
      </c>
      <c r="D79" t="s">
        <v>150</v>
      </c>
      <c r="E79" t="s">
        <v>62</v>
      </c>
      <c r="F79" t="s">
        <v>100</v>
      </c>
      <c r="G79" t="s">
        <v>90</v>
      </c>
      <c r="H79" t="s">
        <v>145</v>
      </c>
      <c r="I79" t="s">
        <v>104</v>
      </c>
      <c r="J79" t="s">
        <v>121</v>
      </c>
      <c r="K79" t="s">
        <v>231</v>
      </c>
      <c r="L79" t="s">
        <v>99</v>
      </c>
      <c r="M79" t="s">
        <v>384</v>
      </c>
      <c r="N79" t="s">
        <v>105</v>
      </c>
      <c r="O79" t="str">
        <f t="shared" si="1"/>
        <v>Arizona Cardinals</v>
      </c>
    </row>
    <row r="80" spans="1:16" x14ac:dyDescent="0.25">
      <c r="A80" t="s">
        <v>132</v>
      </c>
      <c r="B80" t="s">
        <v>148</v>
      </c>
      <c r="C80" t="s">
        <v>250</v>
      </c>
      <c r="D80" t="s">
        <v>150</v>
      </c>
      <c r="E80" t="s">
        <v>77</v>
      </c>
      <c r="F80" t="s">
        <v>177</v>
      </c>
      <c r="G80" t="s">
        <v>84</v>
      </c>
      <c r="H80" t="s">
        <v>145</v>
      </c>
      <c r="I80" t="s">
        <v>113</v>
      </c>
      <c r="J80" t="s">
        <v>126</v>
      </c>
      <c r="K80" t="s">
        <v>385</v>
      </c>
      <c r="L80" t="s">
        <v>115</v>
      </c>
      <c r="M80" t="s">
        <v>386</v>
      </c>
      <c r="N80" t="s">
        <v>105</v>
      </c>
      <c r="O80" t="str">
        <f t="shared" si="1"/>
        <v>Denver Broncos</v>
      </c>
    </row>
    <row r="81" spans="1:16" x14ac:dyDescent="0.25">
      <c r="A81" t="s">
        <v>132</v>
      </c>
      <c r="B81" t="s">
        <v>148</v>
      </c>
      <c r="C81" t="s">
        <v>250</v>
      </c>
      <c r="D81" t="s">
        <v>151</v>
      </c>
      <c r="E81" t="s">
        <v>80</v>
      </c>
      <c r="F81" t="s">
        <v>100</v>
      </c>
      <c r="G81" t="s">
        <v>85</v>
      </c>
      <c r="H81" t="s">
        <v>145</v>
      </c>
      <c r="I81" t="s">
        <v>104</v>
      </c>
      <c r="J81" t="s">
        <v>127</v>
      </c>
      <c r="K81" t="s">
        <v>387</v>
      </c>
      <c r="L81" t="s">
        <v>99</v>
      </c>
      <c r="M81" t="s">
        <v>331</v>
      </c>
      <c r="N81" t="s">
        <v>117</v>
      </c>
      <c r="O81" t="str">
        <f t="shared" si="1"/>
        <v>Green Bay Packers</v>
      </c>
    </row>
    <row r="82" spans="1:16" x14ac:dyDescent="0.25">
      <c r="A82" t="s">
        <v>132</v>
      </c>
      <c r="B82" t="s">
        <v>148</v>
      </c>
      <c r="C82" t="s">
        <v>250</v>
      </c>
      <c r="D82" t="s">
        <v>151</v>
      </c>
      <c r="E82" t="s">
        <v>82</v>
      </c>
      <c r="F82" t="s">
        <v>100</v>
      </c>
      <c r="G82" t="s">
        <v>81</v>
      </c>
      <c r="H82" t="s">
        <v>145</v>
      </c>
      <c r="I82" t="s">
        <v>131</v>
      </c>
      <c r="J82" t="s">
        <v>102</v>
      </c>
      <c r="K82" t="s">
        <v>388</v>
      </c>
      <c r="L82" t="s">
        <v>99</v>
      </c>
      <c r="M82" t="s">
        <v>371</v>
      </c>
      <c r="N82" t="s">
        <v>99</v>
      </c>
      <c r="O82" t="str">
        <f t="shared" si="1"/>
        <v>New York Giants</v>
      </c>
    </row>
    <row r="83" spans="1:16" x14ac:dyDescent="0.25">
      <c r="A83" t="s">
        <v>132</v>
      </c>
      <c r="B83" t="s">
        <v>148</v>
      </c>
      <c r="C83" t="s">
        <v>250</v>
      </c>
      <c r="D83" t="s">
        <v>144</v>
      </c>
      <c r="E83" t="s">
        <v>75</v>
      </c>
      <c r="F83" t="s">
        <v>100</v>
      </c>
      <c r="G83" t="s">
        <v>73</v>
      </c>
      <c r="H83" t="s">
        <v>145</v>
      </c>
      <c r="I83" t="s">
        <v>102</v>
      </c>
      <c r="J83" t="s">
        <v>108</v>
      </c>
      <c r="K83" t="s">
        <v>356</v>
      </c>
      <c r="L83" t="s">
        <v>105</v>
      </c>
      <c r="M83" t="s">
        <v>198</v>
      </c>
      <c r="N83" t="s">
        <v>99</v>
      </c>
      <c r="O83" t="str">
        <f t="shared" si="1"/>
        <v>Dallas Cowboys</v>
      </c>
    </row>
    <row r="84" spans="1:16" x14ac:dyDescent="0.25">
      <c r="A84" t="s">
        <v>132</v>
      </c>
      <c r="B84" t="s">
        <v>152</v>
      </c>
      <c r="C84" t="s">
        <v>251</v>
      </c>
      <c r="D84" t="s">
        <v>147</v>
      </c>
      <c r="E84" t="s">
        <v>61</v>
      </c>
      <c r="F84" t="s">
        <v>177</v>
      </c>
      <c r="G84" t="s">
        <v>87</v>
      </c>
      <c r="H84" t="s">
        <v>145</v>
      </c>
      <c r="I84" t="s">
        <v>123</v>
      </c>
      <c r="J84" t="s">
        <v>114</v>
      </c>
      <c r="K84" t="s">
        <v>324</v>
      </c>
      <c r="L84" t="s">
        <v>99</v>
      </c>
      <c r="M84" t="s">
        <v>389</v>
      </c>
      <c r="N84" t="s">
        <v>99</v>
      </c>
      <c r="O84" t="str">
        <f t="shared" si="1"/>
        <v>Kansas City Chiefs</v>
      </c>
      <c r="P84">
        <v>12</v>
      </c>
    </row>
    <row r="85" spans="1:16" x14ac:dyDescent="0.25">
      <c r="A85" t="s">
        <v>95</v>
      </c>
      <c r="B85" t="s">
        <v>137</v>
      </c>
      <c r="C85" t="s">
        <v>58</v>
      </c>
      <c r="D85" t="s">
        <v>138</v>
      </c>
      <c r="E85" t="s">
        <v>59</v>
      </c>
      <c r="F85" t="s">
        <v>177</v>
      </c>
      <c r="G85" t="s">
        <v>60</v>
      </c>
      <c r="H85" t="s">
        <v>177</v>
      </c>
      <c r="I85" t="s">
        <v>97</v>
      </c>
      <c r="J85" t="s">
        <v>98</v>
      </c>
      <c r="K85" t="s">
        <v>139</v>
      </c>
      <c r="L85" t="s">
        <v>140</v>
      </c>
      <c r="M85" t="s">
        <v>141</v>
      </c>
      <c r="N85" t="s">
        <v>142</v>
      </c>
      <c r="O85" t="str">
        <f t="shared" si="1"/>
        <v>Winner/tie</v>
      </c>
    </row>
    <row r="86" spans="1:16" x14ac:dyDescent="0.25">
      <c r="A86" t="s">
        <v>125</v>
      </c>
      <c r="B86" t="s">
        <v>143</v>
      </c>
      <c r="C86" t="s">
        <v>252</v>
      </c>
      <c r="D86" t="s">
        <v>147</v>
      </c>
      <c r="E86" t="s">
        <v>90</v>
      </c>
      <c r="F86" t="s">
        <v>100</v>
      </c>
      <c r="G86" t="s">
        <v>81</v>
      </c>
      <c r="H86" t="s">
        <v>145</v>
      </c>
      <c r="I86" t="s">
        <v>328</v>
      </c>
      <c r="J86" t="s">
        <v>104</v>
      </c>
      <c r="K86" t="s">
        <v>390</v>
      </c>
      <c r="L86" t="s">
        <v>115</v>
      </c>
      <c r="M86" t="s">
        <v>231</v>
      </c>
      <c r="N86" t="s">
        <v>105</v>
      </c>
      <c r="O86" t="str">
        <f t="shared" si="1"/>
        <v>San Francisco 49ers</v>
      </c>
      <c r="P86">
        <v>13</v>
      </c>
    </row>
    <row r="87" spans="1:16" x14ac:dyDescent="0.25">
      <c r="A87" t="s">
        <v>125</v>
      </c>
      <c r="B87" t="s">
        <v>148</v>
      </c>
      <c r="C87" t="s">
        <v>253</v>
      </c>
      <c r="D87" t="s">
        <v>155</v>
      </c>
      <c r="E87" t="s">
        <v>71</v>
      </c>
      <c r="F87" t="s">
        <v>177</v>
      </c>
      <c r="G87" t="s">
        <v>83</v>
      </c>
      <c r="H87" t="s">
        <v>145</v>
      </c>
      <c r="I87" t="s">
        <v>364</v>
      </c>
      <c r="J87" t="s">
        <v>109</v>
      </c>
      <c r="K87" t="s">
        <v>332</v>
      </c>
      <c r="L87" t="s">
        <v>99</v>
      </c>
      <c r="M87" t="s">
        <v>391</v>
      </c>
      <c r="N87" t="s">
        <v>117</v>
      </c>
      <c r="O87" t="str">
        <f t="shared" si="1"/>
        <v>Chicago Bears</v>
      </c>
    </row>
    <row r="88" spans="1:16" x14ac:dyDescent="0.25">
      <c r="A88" t="s">
        <v>125</v>
      </c>
      <c r="B88" t="s">
        <v>148</v>
      </c>
      <c r="C88" t="s">
        <v>253</v>
      </c>
      <c r="D88" t="s">
        <v>149</v>
      </c>
      <c r="E88" t="s">
        <v>89</v>
      </c>
      <c r="F88" t="s">
        <v>177</v>
      </c>
      <c r="G88" t="s">
        <v>74</v>
      </c>
      <c r="H88" t="s">
        <v>145</v>
      </c>
      <c r="I88" t="s">
        <v>102</v>
      </c>
      <c r="J88" t="s">
        <v>109</v>
      </c>
      <c r="K88" t="s">
        <v>383</v>
      </c>
      <c r="L88" t="s">
        <v>115</v>
      </c>
      <c r="M88" t="s">
        <v>193</v>
      </c>
      <c r="N88" t="s">
        <v>115</v>
      </c>
      <c r="O88" t="str">
        <f t="shared" si="1"/>
        <v>Philadelphia Eagles</v>
      </c>
    </row>
    <row r="89" spans="1:16" x14ac:dyDescent="0.25">
      <c r="A89" t="s">
        <v>125</v>
      </c>
      <c r="B89" t="s">
        <v>148</v>
      </c>
      <c r="C89" t="s">
        <v>253</v>
      </c>
      <c r="D89" t="s">
        <v>149</v>
      </c>
      <c r="E89" t="s">
        <v>66</v>
      </c>
      <c r="F89" t="s">
        <v>100</v>
      </c>
      <c r="G89" t="s">
        <v>72</v>
      </c>
      <c r="H89" t="s">
        <v>145</v>
      </c>
      <c r="I89" t="s">
        <v>102</v>
      </c>
      <c r="J89" t="s">
        <v>108</v>
      </c>
      <c r="K89" t="s">
        <v>392</v>
      </c>
      <c r="L89" t="s">
        <v>99</v>
      </c>
      <c r="M89" t="s">
        <v>362</v>
      </c>
      <c r="N89" t="s">
        <v>99</v>
      </c>
      <c r="O89" t="str">
        <f t="shared" si="1"/>
        <v>Indianapolis Colts</v>
      </c>
    </row>
    <row r="90" spans="1:16" x14ac:dyDescent="0.25">
      <c r="A90" t="s">
        <v>125</v>
      </c>
      <c r="B90" t="s">
        <v>148</v>
      </c>
      <c r="C90" t="s">
        <v>253</v>
      </c>
      <c r="D90" t="s">
        <v>149</v>
      </c>
      <c r="E90" t="s">
        <v>80</v>
      </c>
      <c r="F90" t="s">
        <v>177</v>
      </c>
      <c r="G90" t="s">
        <v>62</v>
      </c>
      <c r="H90" t="s">
        <v>145</v>
      </c>
      <c r="I90" t="s">
        <v>113</v>
      </c>
      <c r="J90" t="s">
        <v>114</v>
      </c>
      <c r="K90" t="s">
        <v>329</v>
      </c>
      <c r="L90" t="s">
        <v>99</v>
      </c>
      <c r="M90" t="s">
        <v>200</v>
      </c>
      <c r="N90" t="s">
        <v>105</v>
      </c>
      <c r="O90" t="str">
        <f t="shared" si="1"/>
        <v>Green Bay Packers</v>
      </c>
    </row>
    <row r="91" spans="1:16" x14ac:dyDescent="0.25">
      <c r="A91" t="s">
        <v>125</v>
      </c>
      <c r="B91" t="s">
        <v>148</v>
      </c>
      <c r="C91" t="s">
        <v>253</v>
      </c>
      <c r="D91" t="s">
        <v>149</v>
      </c>
      <c r="E91" t="s">
        <v>68</v>
      </c>
      <c r="F91" t="s">
        <v>100</v>
      </c>
      <c r="G91" t="s">
        <v>76</v>
      </c>
      <c r="H91" t="s">
        <v>145</v>
      </c>
      <c r="I91" t="s">
        <v>128</v>
      </c>
      <c r="J91" t="s">
        <v>101</v>
      </c>
      <c r="K91" t="s">
        <v>393</v>
      </c>
      <c r="L91" t="s">
        <v>99</v>
      </c>
      <c r="M91" t="s">
        <v>394</v>
      </c>
      <c r="N91" t="s">
        <v>130</v>
      </c>
      <c r="O91" t="str">
        <f t="shared" si="1"/>
        <v>Houston Texans</v>
      </c>
    </row>
    <row r="92" spans="1:16" x14ac:dyDescent="0.25">
      <c r="A92" t="s">
        <v>125</v>
      </c>
      <c r="B92" t="s">
        <v>148</v>
      </c>
      <c r="C92" t="s">
        <v>253</v>
      </c>
      <c r="D92" t="s">
        <v>149</v>
      </c>
      <c r="E92" t="s">
        <v>91</v>
      </c>
      <c r="F92" t="s">
        <v>100</v>
      </c>
      <c r="G92" t="s">
        <v>87</v>
      </c>
      <c r="H92" t="s">
        <v>145</v>
      </c>
      <c r="I92" t="s">
        <v>395</v>
      </c>
      <c r="J92" t="s">
        <v>119</v>
      </c>
      <c r="K92" t="s">
        <v>396</v>
      </c>
      <c r="L92" t="s">
        <v>105</v>
      </c>
      <c r="M92" t="s">
        <v>200</v>
      </c>
      <c r="N92" t="s">
        <v>105</v>
      </c>
      <c r="O92" t="str">
        <f t="shared" si="1"/>
        <v>Tampa Bay Buccaneers</v>
      </c>
    </row>
    <row r="93" spans="1:16" x14ac:dyDescent="0.25">
      <c r="A93" t="s">
        <v>125</v>
      </c>
      <c r="B93" t="s">
        <v>148</v>
      </c>
      <c r="C93" t="s">
        <v>253</v>
      </c>
      <c r="D93" t="s">
        <v>149</v>
      </c>
      <c r="E93" t="s">
        <v>65</v>
      </c>
      <c r="F93" t="s">
        <v>177</v>
      </c>
      <c r="G93" t="s">
        <v>92</v>
      </c>
      <c r="H93" t="s">
        <v>145</v>
      </c>
      <c r="I93" t="s">
        <v>320</v>
      </c>
      <c r="J93" t="s">
        <v>121</v>
      </c>
      <c r="K93" t="s">
        <v>397</v>
      </c>
      <c r="L93" t="s">
        <v>99</v>
      </c>
      <c r="M93" t="s">
        <v>398</v>
      </c>
      <c r="N93" t="s">
        <v>115</v>
      </c>
      <c r="O93" t="str">
        <f t="shared" si="1"/>
        <v>Baltimore Ravens</v>
      </c>
    </row>
    <row r="94" spans="1:16" x14ac:dyDescent="0.25">
      <c r="A94" t="s">
        <v>125</v>
      </c>
      <c r="B94" t="s">
        <v>148</v>
      </c>
      <c r="C94" t="s">
        <v>253</v>
      </c>
      <c r="D94" t="s">
        <v>150</v>
      </c>
      <c r="E94" t="s">
        <v>79</v>
      </c>
      <c r="F94" t="s">
        <v>100</v>
      </c>
      <c r="G94" t="s">
        <v>77</v>
      </c>
      <c r="H94" t="s">
        <v>145</v>
      </c>
      <c r="I94" t="s">
        <v>121</v>
      </c>
      <c r="J94" t="s">
        <v>109</v>
      </c>
      <c r="K94" t="s">
        <v>399</v>
      </c>
      <c r="L94" t="s">
        <v>115</v>
      </c>
      <c r="M94" t="s">
        <v>203</v>
      </c>
      <c r="N94" t="s">
        <v>117</v>
      </c>
      <c r="O94" t="str">
        <f t="shared" si="1"/>
        <v>Los Angeles Chargers</v>
      </c>
    </row>
    <row r="95" spans="1:16" x14ac:dyDescent="0.25">
      <c r="A95" t="s">
        <v>125</v>
      </c>
      <c r="B95" t="s">
        <v>148</v>
      </c>
      <c r="C95" t="s">
        <v>253</v>
      </c>
      <c r="D95" t="s">
        <v>150</v>
      </c>
      <c r="E95" t="s">
        <v>73</v>
      </c>
      <c r="F95" t="s">
        <v>100</v>
      </c>
      <c r="G95" t="s">
        <v>84</v>
      </c>
      <c r="H95" t="s">
        <v>145</v>
      </c>
      <c r="I95" t="s">
        <v>212</v>
      </c>
      <c r="J95" t="s">
        <v>114</v>
      </c>
      <c r="K95" t="s">
        <v>343</v>
      </c>
      <c r="L95" t="s">
        <v>115</v>
      </c>
      <c r="M95" t="s">
        <v>400</v>
      </c>
      <c r="N95" t="s">
        <v>105</v>
      </c>
      <c r="O95" t="str">
        <f t="shared" si="1"/>
        <v>Pittsburgh Steelers</v>
      </c>
    </row>
    <row r="96" spans="1:16" x14ac:dyDescent="0.25">
      <c r="A96" t="s">
        <v>125</v>
      </c>
      <c r="B96" t="s">
        <v>148</v>
      </c>
      <c r="C96" t="s">
        <v>253</v>
      </c>
      <c r="D96" t="s">
        <v>151</v>
      </c>
      <c r="E96" t="s">
        <v>64</v>
      </c>
      <c r="F96" t="s">
        <v>100</v>
      </c>
      <c r="G96" t="s">
        <v>69</v>
      </c>
      <c r="H96" t="s">
        <v>145</v>
      </c>
      <c r="I96" t="s">
        <v>340</v>
      </c>
      <c r="J96" t="s">
        <v>102</v>
      </c>
      <c r="K96" t="s">
        <v>401</v>
      </c>
      <c r="L96" t="s">
        <v>99</v>
      </c>
      <c r="M96" t="s">
        <v>402</v>
      </c>
      <c r="N96" t="s">
        <v>117</v>
      </c>
      <c r="O96" t="str">
        <f t="shared" si="1"/>
        <v>Atlanta Falcons</v>
      </c>
    </row>
    <row r="97" spans="1:16" x14ac:dyDescent="0.25">
      <c r="A97" t="s">
        <v>125</v>
      </c>
      <c r="B97" t="s">
        <v>148</v>
      </c>
      <c r="C97" t="s">
        <v>253</v>
      </c>
      <c r="D97" t="s">
        <v>151</v>
      </c>
      <c r="E97" t="s">
        <v>78</v>
      </c>
      <c r="F97" t="s">
        <v>100</v>
      </c>
      <c r="G97" t="s">
        <v>75</v>
      </c>
      <c r="H97" t="s">
        <v>145</v>
      </c>
      <c r="I97" t="s">
        <v>187</v>
      </c>
      <c r="J97" t="s">
        <v>107</v>
      </c>
      <c r="K97" t="s">
        <v>403</v>
      </c>
      <c r="L97" t="s">
        <v>115</v>
      </c>
      <c r="M97" t="s">
        <v>239</v>
      </c>
      <c r="N97" t="s">
        <v>132</v>
      </c>
      <c r="O97" t="str">
        <f t="shared" si="1"/>
        <v>Dallas Cowboys</v>
      </c>
    </row>
    <row r="98" spans="1:16" x14ac:dyDescent="0.25">
      <c r="A98" t="s">
        <v>125</v>
      </c>
      <c r="B98" t="s">
        <v>148</v>
      </c>
      <c r="C98" t="s">
        <v>253</v>
      </c>
      <c r="D98" t="s">
        <v>144</v>
      </c>
      <c r="E98" t="s">
        <v>70</v>
      </c>
      <c r="F98" t="s">
        <v>100</v>
      </c>
      <c r="G98" t="s">
        <v>82</v>
      </c>
      <c r="H98" t="s">
        <v>145</v>
      </c>
      <c r="I98" t="s">
        <v>108</v>
      </c>
      <c r="J98" t="s">
        <v>111</v>
      </c>
      <c r="K98" t="s">
        <v>201</v>
      </c>
      <c r="L98" t="s">
        <v>99</v>
      </c>
      <c r="M98" t="s">
        <v>404</v>
      </c>
      <c r="N98" t="s">
        <v>99</v>
      </c>
      <c r="O98" t="str">
        <f t="shared" si="1"/>
        <v>New York Giants</v>
      </c>
    </row>
    <row r="99" spans="1:16" x14ac:dyDescent="0.25">
      <c r="A99" t="s">
        <v>125</v>
      </c>
      <c r="B99" t="s">
        <v>152</v>
      </c>
      <c r="C99" t="s">
        <v>254</v>
      </c>
      <c r="D99" t="s">
        <v>147</v>
      </c>
      <c r="E99" t="s">
        <v>67</v>
      </c>
      <c r="F99" t="s">
        <v>100</v>
      </c>
      <c r="G99" t="s">
        <v>88</v>
      </c>
      <c r="H99" t="s">
        <v>145</v>
      </c>
      <c r="I99" t="s">
        <v>121</v>
      </c>
      <c r="J99" t="s">
        <v>102</v>
      </c>
      <c r="K99" t="s">
        <v>405</v>
      </c>
      <c r="L99" t="s">
        <v>115</v>
      </c>
      <c r="M99" t="s">
        <v>406</v>
      </c>
      <c r="N99" t="s">
        <v>99</v>
      </c>
      <c r="O99" t="str">
        <f t="shared" si="1"/>
        <v>Buffalo Bills</v>
      </c>
      <c r="P99">
        <v>14</v>
      </c>
    </row>
    <row r="100" spans="1:16" x14ac:dyDescent="0.25">
      <c r="A100" t="s">
        <v>95</v>
      </c>
      <c r="B100" t="s">
        <v>137</v>
      </c>
      <c r="C100" t="s">
        <v>58</v>
      </c>
      <c r="D100" t="s">
        <v>138</v>
      </c>
      <c r="E100" t="s">
        <v>59</v>
      </c>
      <c r="F100" t="s">
        <v>177</v>
      </c>
      <c r="G100" t="s">
        <v>60</v>
      </c>
      <c r="H100" t="s">
        <v>177</v>
      </c>
      <c r="I100" t="s">
        <v>97</v>
      </c>
      <c r="J100" t="s">
        <v>98</v>
      </c>
      <c r="K100" t="s">
        <v>139</v>
      </c>
      <c r="L100" t="s">
        <v>140</v>
      </c>
      <c r="M100" t="s">
        <v>141</v>
      </c>
      <c r="N100" t="s">
        <v>142</v>
      </c>
      <c r="O100" t="str">
        <f t="shared" si="1"/>
        <v>Winner/tie</v>
      </c>
    </row>
    <row r="101" spans="1:16" x14ac:dyDescent="0.25">
      <c r="A101" t="s">
        <v>111</v>
      </c>
      <c r="B101" t="s">
        <v>143</v>
      </c>
      <c r="C101" t="s">
        <v>255</v>
      </c>
      <c r="D101" t="s">
        <v>147</v>
      </c>
      <c r="E101" t="s">
        <v>77</v>
      </c>
      <c r="F101" t="s">
        <v>100</v>
      </c>
      <c r="G101" t="s">
        <v>87</v>
      </c>
      <c r="H101" t="s">
        <v>145</v>
      </c>
      <c r="I101" t="s">
        <v>122</v>
      </c>
      <c r="J101" t="s">
        <v>112</v>
      </c>
      <c r="K101" t="s">
        <v>368</v>
      </c>
      <c r="L101" t="s">
        <v>99</v>
      </c>
      <c r="M101" t="s">
        <v>407</v>
      </c>
      <c r="N101" t="s">
        <v>117</v>
      </c>
      <c r="O101" t="str">
        <f t="shared" si="1"/>
        <v>Denver Broncos</v>
      </c>
      <c r="P101">
        <v>15</v>
      </c>
    </row>
    <row r="102" spans="1:16" x14ac:dyDescent="0.25">
      <c r="A102" t="s">
        <v>111</v>
      </c>
      <c r="B102" t="s">
        <v>148</v>
      </c>
      <c r="C102" t="s">
        <v>256</v>
      </c>
      <c r="D102" t="s">
        <v>155</v>
      </c>
      <c r="E102" t="s">
        <v>83</v>
      </c>
      <c r="F102" t="s">
        <v>177</v>
      </c>
      <c r="G102" t="s">
        <v>76</v>
      </c>
      <c r="H102" t="s">
        <v>145</v>
      </c>
      <c r="I102" t="s">
        <v>212</v>
      </c>
      <c r="J102" t="s">
        <v>109</v>
      </c>
      <c r="K102" t="s">
        <v>408</v>
      </c>
      <c r="L102" t="s">
        <v>115</v>
      </c>
      <c r="M102" t="s">
        <v>240</v>
      </c>
      <c r="N102" t="s">
        <v>115</v>
      </c>
      <c r="O102" t="str">
        <f t="shared" si="1"/>
        <v>Jacksonville Jaguars</v>
      </c>
    </row>
    <row r="103" spans="1:16" x14ac:dyDescent="0.25">
      <c r="A103" t="s">
        <v>111</v>
      </c>
      <c r="B103" t="s">
        <v>148</v>
      </c>
      <c r="C103" t="s">
        <v>256</v>
      </c>
      <c r="D103" t="s">
        <v>149</v>
      </c>
      <c r="E103" t="s">
        <v>78</v>
      </c>
      <c r="F103" t="s">
        <v>100</v>
      </c>
      <c r="G103" t="s">
        <v>63</v>
      </c>
      <c r="H103" t="s">
        <v>145</v>
      </c>
      <c r="I103" t="s">
        <v>103</v>
      </c>
      <c r="J103" t="s">
        <v>131</v>
      </c>
      <c r="K103" t="s">
        <v>409</v>
      </c>
      <c r="L103" t="s">
        <v>99</v>
      </c>
      <c r="M103" t="s">
        <v>219</v>
      </c>
      <c r="N103" t="s">
        <v>99</v>
      </c>
      <c r="O103" t="str">
        <f t="shared" si="1"/>
        <v>Detroit Lions</v>
      </c>
    </row>
    <row r="104" spans="1:16" x14ac:dyDescent="0.25">
      <c r="A104" t="s">
        <v>111</v>
      </c>
      <c r="B104" t="s">
        <v>148</v>
      </c>
      <c r="C104" t="s">
        <v>256</v>
      </c>
      <c r="D104" t="s">
        <v>149</v>
      </c>
      <c r="E104" t="s">
        <v>81</v>
      </c>
      <c r="F104" t="s">
        <v>100</v>
      </c>
      <c r="G104" t="s">
        <v>64</v>
      </c>
      <c r="H104" t="s">
        <v>145</v>
      </c>
      <c r="I104" t="s">
        <v>113</v>
      </c>
      <c r="J104" t="s">
        <v>133</v>
      </c>
      <c r="K104" t="s">
        <v>410</v>
      </c>
      <c r="L104" t="s">
        <v>115</v>
      </c>
      <c r="M104" t="s">
        <v>411</v>
      </c>
      <c r="N104" t="s">
        <v>105</v>
      </c>
      <c r="O104" t="str">
        <f t="shared" si="1"/>
        <v>Seattle Seahawks</v>
      </c>
    </row>
    <row r="105" spans="1:16" x14ac:dyDescent="0.25">
      <c r="A105" t="s">
        <v>111</v>
      </c>
      <c r="B105" t="s">
        <v>148</v>
      </c>
      <c r="C105" t="s">
        <v>256</v>
      </c>
      <c r="D105" t="s">
        <v>149</v>
      </c>
      <c r="E105" t="s">
        <v>67</v>
      </c>
      <c r="F105" t="s">
        <v>177</v>
      </c>
      <c r="G105" t="s">
        <v>72</v>
      </c>
      <c r="H105" t="s">
        <v>145</v>
      </c>
      <c r="I105" t="s">
        <v>113</v>
      </c>
      <c r="J105" t="s">
        <v>112</v>
      </c>
      <c r="K105" t="s">
        <v>368</v>
      </c>
      <c r="L105" t="s">
        <v>115</v>
      </c>
      <c r="M105" t="s">
        <v>385</v>
      </c>
      <c r="N105" t="s">
        <v>117</v>
      </c>
      <c r="O105" t="str">
        <f t="shared" si="1"/>
        <v>Buffalo Bills</v>
      </c>
    </row>
    <row r="106" spans="1:16" x14ac:dyDescent="0.25">
      <c r="A106" t="s">
        <v>111</v>
      </c>
      <c r="B106" t="s">
        <v>148</v>
      </c>
      <c r="C106" t="s">
        <v>256</v>
      </c>
      <c r="D106" t="s">
        <v>149</v>
      </c>
      <c r="E106" t="s">
        <v>70</v>
      </c>
      <c r="F106" t="s">
        <v>100</v>
      </c>
      <c r="G106" t="s">
        <v>74</v>
      </c>
      <c r="H106" t="s">
        <v>145</v>
      </c>
      <c r="I106" t="s">
        <v>101</v>
      </c>
      <c r="J106" t="s">
        <v>133</v>
      </c>
      <c r="K106" t="s">
        <v>319</v>
      </c>
      <c r="L106" t="s">
        <v>115</v>
      </c>
      <c r="M106" t="s">
        <v>412</v>
      </c>
      <c r="N106" t="s">
        <v>117</v>
      </c>
      <c r="O106" t="str">
        <f t="shared" si="1"/>
        <v>Cincinnati Bengals</v>
      </c>
    </row>
    <row r="107" spans="1:16" x14ac:dyDescent="0.25">
      <c r="A107" t="s">
        <v>111</v>
      </c>
      <c r="B107" t="s">
        <v>148</v>
      </c>
      <c r="C107" t="s">
        <v>256</v>
      </c>
      <c r="D107" t="s">
        <v>149</v>
      </c>
      <c r="E107" t="s">
        <v>66</v>
      </c>
      <c r="F107" t="s">
        <v>177</v>
      </c>
      <c r="G107" t="s">
        <v>86</v>
      </c>
      <c r="H107" t="s">
        <v>145</v>
      </c>
      <c r="I107" t="s">
        <v>109</v>
      </c>
      <c r="J107" t="s">
        <v>112</v>
      </c>
      <c r="K107" t="s">
        <v>413</v>
      </c>
      <c r="L107" t="s">
        <v>99</v>
      </c>
      <c r="M107" t="s">
        <v>414</v>
      </c>
      <c r="N107" t="s">
        <v>117</v>
      </c>
      <c r="O107" t="str">
        <f t="shared" si="1"/>
        <v>Indianapolis Colts</v>
      </c>
    </row>
    <row r="108" spans="1:16" x14ac:dyDescent="0.25">
      <c r="A108" t="s">
        <v>111</v>
      </c>
      <c r="B108" t="s">
        <v>148</v>
      </c>
      <c r="C108" t="s">
        <v>256</v>
      </c>
      <c r="D108" t="s">
        <v>149</v>
      </c>
      <c r="E108" t="s">
        <v>80</v>
      </c>
      <c r="F108" t="s">
        <v>177</v>
      </c>
      <c r="G108" t="s">
        <v>68</v>
      </c>
      <c r="H108" t="s">
        <v>145</v>
      </c>
      <c r="I108" t="s">
        <v>104</v>
      </c>
      <c r="J108" t="s">
        <v>116</v>
      </c>
      <c r="K108" t="s">
        <v>333</v>
      </c>
      <c r="L108" t="s">
        <v>105</v>
      </c>
      <c r="M108" t="s">
        <v>415</v>
      </c>
      <c r="N108" t="s">
        <v>115</v>
      </c>
      <c r="O108" t="str">
        <f t="shared" si="1"/>
        <v>Green Bay Packers</v>
      </c>
    </row>
    <row r="109" spans="1:16" x14ac:dyDescent="0.25">
      <c r="A109" t="s">
        <v>111</v>
      </c>
      <c r="B109" t="s">
        <v>148</v>
      </c>
      <c r="C109" t="s">
        <v>256</v>
      </c>
      <c r="D109" t="s">
        <v>149</v>
      </c>
      <c r="E109" t="s">
        <v>89</v>
      </c>
      <c r="F109" t="s">
        <v>100</v>
      </c>
      <c r="G109" t="s">
        <v>82</v>
      </c>
      <c r="H109" t="s">
        <v>145</v>
      </c>
      <c r="I109" t="s">
        <v>118</v>
      </c>
      <c r="J109" t="s">
        <v>105</v>
      </c>
      <c r="K109" t="s">
        <v>410</v>
      </c>
      <c r="L109" t="s">
        <v>115</v>
      </c>
      <c r="M109" t="s">
        <v>416</v>
      </c>
      <c r="N109" t="s">
        <v>115</v>
      </c>
      <c r="O109" t="str">
        <f t="shared" si="1"/>
        <v>New York Giants</v>
      </c>
    </row>
    <row r="110" spans="1:16" x14ac:dyDescent="0.25">
      <c r="A110" t="s">
        <v>111</v>
      </c>
      <c r="B110" t="s">
        <v>148</v>
      </c>
      <c r="C110" t="s">
        <v>256</v>
      </c>
      <c r="D110" t="s">
        <v>150</v>
      </c>
      <c r="E110" t="s">
        <v>92</v>
      </c>
      <c r="F110" t="s">
        <v>177</v>
      </c>
      <c r="G110" t="s">
        <v>69</v>
      </c>
      <c r="H110" t="s">
        <v>145</v>
      </c>
      <c r="I110" t="s">
        <v>417</v>
      </c>
      <c r="J110" t="s">
        <v>111</v>
      </c>
      <c r="K110" t="s">
        <v>418</v>
      </c>
      <c r="L110" t="s">
        <v>115</v>
      </c>
      <c r="M110" t="s">
        <v>419</v>
      </c>
      <c r="N110" t="s">
        <v>117</v>
      </c>
      <c r="O110" t="str">
        <f t="shared" si="1"/>
        <v>Carolina Panthers</v>
      </c>
    </row>
    <row r="111" spans="1:16" x14ac:dyDescent="0.25">
      <c r="A111" t="s">
        <v>111</v>
      </c>
      <c r="B111" t="s">
        <v>148</v>
      </c>
      <c r="C111" t="s">
        <v>256</v>
      </c>
      <c r="D111" t="s">
        <v>150</v>
      </c>
      <c r="E111" t="s">
        <v>85</v>
      </c>
      <c r="F111" t="s">
        <v>177</v>
      </c>
      <c r="G111" t="s">
        <v>84</v>
      </c>
      <c r="H111" t="s">
        <v>145</v>
      </c>
      <c r="I111" t="s">
        <v>102</v>
      </c>
      <c r="J111" t="s">
        <v>110</v>
      </c>
      <c r="K111" t="s">
        <v>420</v>
      </c>
      <c r="L111" t="s">
        <v>99</v>
      </c>
      <c r="M111" t="s">
        <v>421</v>
      </c>
      <c r="N111" t="s">
        <v>130</v>
      </c>
      <c r="O111" t="str">
        <f t="shared" si="1"/>
        <v>Los Angeles Rams</v>
      </c>
    </row>
    <row r="112" spans="1:16" x14ac:dyDescent="0.25">
      <c r="A112" t="s">
        <v>111</v>
      </c>
      <c r="B112" t="s">
        <v>148</v>
      </c>
      <c r="C112" t="s">
        <v>256</v>
      </c>
      <c r="D112" t="s">
        <v>151</v>
      </c>
      <c r="E112" t="s">
        <v>61</v>
      </c>
      <c r="F112" t="s">
        <v>100</v>
      </c>
      <c r="G112" t="s">
        <v>90</v>
      </c>
      <c r="H112" t="s">
        <v>145</v>
      </c>
      <c r="I112" t="s">
        <v>118</v>
      </c>
      <c r="J112" t="s">
        <v>126</v>
      </c>
      <c r="K112" t="s">
        <v>363</v>
      </c>
      <c r="L112" t="s">
        <v>117</v>
      </c>
      <c r="M112" t="s">
        <v>232</v>
      </c>
      <c r="N112" t="s">
        <v>105</v>
      </c>
      <c r="O112" t="str">
        <f t="shared" si="1"/>
        <v>Kansas City Chiefs</v>
      </c>
    </row>
    <row r="113" spans="1:16" x14ac:dyDescent="0.25">
      <c r="A113" t="s">
        <v>111</v>
      </c>
      <c r="B113" t="s">
        <v>148</v>
      </c>
      <c r="C113" t="s">
        <v>256</v>
      </c>
      <c r="D113" t="s">
        <v>144</v>
      </c>
      <c r="E113" t="s">
        <v>73</v>
      </c>
      <c r="F113" t="s">
        <v>177</v>
      </c>
      <c r="G113" t="s">
        <v>88</v>
      </c>
      <c r="H113" t="s">
        <v>145</v>
      </c>
      <c r="I113" t="s">
        <v>120</v>
      </c>
      <c r="J113" t="s">
        <v>110</v>
      </c>
      <c r="K113" t="s">
        <v>422</v>
      </c>
      <c r="L113" t="s">
        <v>115</v>
      </c>
      <c r="M113" t="s">
        <v>224</v>
      </c>
      <c r="N113" t="s">
        <v>117</v>
      </c>
      <c r="O113" t="str">
        <f t="shared" si="1"/>
        <v>Pittsburgh Steelers</v>
      </c>
    </row>
    <row r="114" spans="1:16" x14ac:dyDescent="0.25">
      <c r="A114" t="s">
        <v>111</v>
      </c>
      <c r="B114" t="s">
        <v>152</v>
      </c>
      <c r="C114" t="s">
        <v>257</v>
      </c>
      <c r="D114" t="s">
        <v>147</v>
      </c>
      <c r="E114" t="s">
        <v>65</v>
      </c>
      <c r="F114" t="s">
        <v>100</v>
      </c>
      <c r="G114" t="s">
        <v>91</v>
      </c>
      <c r="H114" t="s">
        <v>145</v>
      </c>
      <c r="I114" t="s">
        <v>128</v>
      </c>
      <c r="J114" t="s">
        <v>103</v>
      </c>
      <c r="K114" t="s">
        <v>423</v>
      </c>
      <c r="L114" t="s">
        <v>99</v>
      </c>
      <c r="M114" t="s">
        <v>424</v>
      </c>
      <c r="N114" t="s">
        <v>117</v>
      </c>
      <c r="O114" t="str">
        <f t="shared" si="1"/>
        <v>Baltimore Ravens</v>
      </c>
    </row>
    <row r="115" spans="1:16" x14ac:dyDescent="0.25">
      <c r="A115" t="s">
        <v>111</v>
      </c>
      <c r="B115" t="s">
        <v>152</v>
      </c>
      <c r="C115" t="s">
        <v>257</v>
      </c>
      <c r="D115" t="s">
        <v>156</v>
      </c>
      <c r="E115" t="s">
        <v>62</v>
      </c>
      <c r="F115" t="s">
        <v>177</v>
      </c>
      <c r="G115" t="s">
        <v>79</v>
      </c>
      <c r="H115" t="s">
        <v>145</v>
      </c>
      <c r="I115" t="s">
        <v>108</v>
      </c>
      <c r="J115" t="s">
        <v>110</v>
      </c>
      <c r="K115" t="s">
        <v>425</v>
      </c>
      <c r="L115" t="s">
        <v>99</v>
      </c>
      <c r="M115" t="s">
        <v>316</v>
      </c>
      <c r="N115" t="s">
        <v>117</v>
      </c>
      <c r="O115" t="str">
        <f t="shared" si="1"/>
        <v>Arizona Cardinals</v>
      </c>
      <c r="P115">
        <v>16</v>
      </c>
    </row>
    <row r="116" spans="1:16" x14ac:dyDescent="0.25">
      <c r="A116" t="s">
        <v>95</v>
      </c>
      <c r="B116" t="s">
        <v>137</v>
      </c>
      <c r="C116" t="s">
        <v>58</v>
      </c>
      <c r="D116" t="s">
        <v>138</v>
      </c>
      <c r="E116" t="s">
        <v>59</v>
      </c>
      <c r="F116" t="s">
        <v>177</v>
      </c>
      <c r="G116" t="s">
        <v>60</v>
      </c>
      <c r="H116" t="s">
        <v>177</v>
      </c>
      <c r="I116" t="s">
        <v>97</v>
      </c>
      <c r="J116" t="s">
        <v>98</v>
      </c>
      <c r="K116" t="s">
        <v>139</v>
      </c>
      <c r="L116" t="s">
        <v>140</v>
      </c>
      <c r="M116" t="s">
        <v>141</v>
      </c>
      <c r="N116" t="s">
        <v>142</v>
      </c>
      <c r="O116" t="str">
        <f t="shared" si="1"/>
        <v>Winner/tie</v>
      </c>
    </row>
    <row r="117" spans="1:16" x14ac:dyDescent="0.25">
      <c r="A117" t="s">
        <v>134</v>
      </c>
      <c r="B117" t="s">
        <v>143</v>
      </c>
      <c r="C117" t="s">
        <v>258</v>
      </c>
      <c r="D117" t="s">
        <v>147</v>
      </c>
      <c r="E117" t="s">
        <v>85</v>
      </c>
      <c r="F117" t="s">
        <v>177</v>
      </c>
      <c r="G117" t="s">
        <v>63</v>
      </c>
      <c r="H117" t="s">
        <v>145</v>
      </c>
      <c r="I117" t="s">
        <v>320</v>
      </c>
      <c r="J117" t="s">
        <v>102</v>
      </c>
      <c r="K117" t="s">
        <v>426</v>
      </c>
      <c r="L117" t="s">
        <v>99</v>
      </c>
      <c r="M117" t="s">
        <v>374</v>
      </c>
      <c r="N117" t="s">
        <v>115</v>
      </c>
      <c r="O117" t="str">
        <f t="shared" si="1"/>
        <v>Los Angeles Rams</v>
      </c>
      <c r="P117">
        <v>17</v>
      </c>
    </row>
    <row r="118" spans="1:16" x14ac:dyDescent="0.25">
      <c r="A118" t="s">
        <v>134</v>
      </c>
      <c r="B118" t="s">
        <v>148</v>
      </c>
      <c r="C118" t="s">
        <v>259</v>
      </c>
      <c r="D118" t="s">
        <v>149</v>
      </c>
      <c r="E118" t="s">
        <v>78</v>
      </c>
      <c r="F118" t="s">
        <v>177</v>
      </c>
      <c r="G118" t="s">
        <v>72</v>
      </c>
      <c r="H118" t="s">
        <v>145</v>
      </c>
      <c r="I118" t="s">
        <v>427</v>
      </c>
      <c r="J118" t="s">
        <v>133</v>
      </c>
      <c r="K118" t="s">
        <v>428</v>
      </c>
      <c r="L118" t="s">
        <v>115</v>
      </c>
      <c r="M118" t="s">
        <v>429</v>
      </c>
      <c r="N118" t="s">
        <v>130</v>
      </c>
      <c r="O118" t="str">
        <f t="shared" si="1"/>
        <v>Detroit Lions</v>
      </c>
    </row>
    <row r="119" spans="1:16" x14ac:dyDescent="0.25">
      <c r="A119" t="s">
        <v>134</v>
      </c>
      <c r="B119" t="s">
        <v>148</v>
      </c>
      <c r="C119" t="s">
        <v>259</v>
      </c>
      <c r="D119" t="s">
        <v>149</v>
      </c>
      <c r="E119" t="s">
        <v>64</v>
      </c>
      <c r="F119" t="s">
        <v>100</v>
      </c>
      <c r="G119" t="s">
        <v>91</v>
      </c>
      <c r="H119" t="s">
        <v>145</v>
      </c>
      <c r="I119" t="s">
        <v>103</v>
      </c>
      <c r="J119" t="s">
        <v>123</v>
      </c>
      <c r="K119" t="s">
        <v>430</v>
      </c>
      <c r="L119" t="s">
        <v>115</v>
      </c>
      <c r="M119" t="s">
        <v>222</v>
      </c>
      <c r="N119" t="s">
        <v>105</v>
      </c>
      <c r="O119" t="str">
        <f t="shared" si="1"/>
        <v>Atlanta Falcons</v>
      </c>
    </row>
    <row r="120" spans="1:16" x14ac:dyDescent="0.25">
      <c r="A120" t="s">
        <v>134</v>
      </c>
      <c r="B120" t="s">
        <v>148</v>
      </c>
      <c r="C120" t="s">
        <v>259</v>
      </c>
      <c r="D120" t="s">
        <v>149</v>
      </c>
      <c r="E120" t="s">
        <v>89</v>
      </c>
      <c r="F120" t="s">
        <v>100</v>
      </c>
      <c r="G120" t="s">
        <v>70</v>
      </c>
      <c r="H120" t="s">
        <v>145</v>
      </c>
      <c r="I120" t="s">
        <v>120</v>
      </c>
      <c r="J120" t="s">
        <v>108</v>
      </c>
      <c r="K120" t="s">
        <v>431</v>
      </c>
      <c r="L120" t="s">
        <v>115</v>
      </c>
      <c r="M120" t="s">
        <v>432</v>
      </c>
      <c r="N120" t="s">
        <v>117</v>
      </c>
      <c r="O120" t="str">
        <f t="shared" si="1"/>
        <v>Philadelphia Eagles</v>
      </c>
    </row>
    <row r="121" spans="1:16" x14ac:dyDescent="0.25">
      <c r="A121" t="s">
        <v>134</v>
      </c>
      <c r="B121" t="s">
        <v>148</v>
      </c>
      <c r="C121" t="s">
        <v>259</v>
      </c>
      <c r="D121" t="s">
        <v>149</v>
      </c>
      <c r="E121" t="s">
        <v>74</v>
      </c>
      <c r="F121" t="s">
        <v>177</v>
      </c>
      <c r="G121" t="s">
        <v>65</v>
      </c>
      <c r="H121" t="s">
        <v>145</v>
      </c>
      <c r="I121" t="s">
        <v>131</v>
      </c>
      <c r="J121" t="s">
        <v>104</v>
      </c>
      <c r="K121" t="s">
        <v>213</v>
      </c>
      <c r="L121" t="s">
        <v>99</v>
      </c>
      <c r="M121" t="s">
        <v>210</v>
      </c>
      <c r="N121" t="s">
        <v>115</v>
      </c>
      <c r="O121" t="str">
        <f t="shared" si="1"/>
        <v>Cleveland Browns</v>
      </c>
    </row>
    <row r="122" spans="1:16" x14ac:dyDescent="0.25">
      <c r="A122" t="s">
        <v>134</v>
      </c>
      <c r="B122" t="s">
        <v>148</v>
      </c>
      <c r="C122" t="s">
        <v>259</v>
      </c>
      <c r="D122" t="s">
        <v>149</v>
      </c>
      <c r="E122" t="s">
        <v>68</v>
      </c>
      <c r="F122" t="s">
        <v>177</v>
      </c>
      <c r="G122" t="s">
        <v>66</v>
      </c>
      <c r="H122" t="s">
        <v>145</v>
      </c>
      <c r="I122" t="s">
        <v>121</v>
      </c>
      <c r="J122" t="s">
        <v>102</v>
      </c>
      <c r="K122" t="s">
        <v>209</v>
      </c>
      <c r="L122" t="s">
        <v>99</v>
      </c>
      <c r="M122" t="s">
        <v>200</v>
      </c>
      <c r="N122" t="s">
        <v>117</v>
      </c>
      <c r="O122" t="str">
        <f t="shared" si="1"/>
        <v>Houston Texans</v>
      </c>
    </row>
    <row r="123" spans="1:16" x14ac:dyDescent="0.25">
      <c r="A123" t="s">
        <v>134</v>
      </c>
      <c r="B123" t="s">
        <v>148</v>
      </c>
      <c r="C123" t="s">
        <v>259</v>
      </c>
      <c r="D123" t="s">
        <v>149</v>
      </c>
      <c r="E123" t="s">
        <v>62</v>
      </c>
      <c r="F123" t="s">
        <v>100</v>
      </c>
      <c r="G123" t="s">
        <v>86</v>
      </c>
      <c r="H123" t="s">
        <v>145</v>
      </c>
      <c r="I123" t="s">
        <v>118</v>
      </c>
      <c r="J123" t="s">
        <v>119</v>
      </c>
      <c r="K123" t="s">
        <v>368</v>
      </c>
      <c r="L123" t="s">
        <v>115</v>
      </c>
      <c r="M123" t="s">
        <v>433</v>
      </c>
      <c r="N123" t="s">
        <v>115</v>
      </c>
      <c r="O123" t="str">
        <f t="shared" si="1"/>
        <v>Arizona Cardinals</v>
      </c>
    </row>
    <row r="124" spans="1:16" x14ac:dyDescent="0.25">
      <c r="A124" t="s">
        <v>134</v>
      </c>
      <c r="B124" t="s">
        <v>148</v>
      </c>
      <c r="C124" t="s">
        <v>259</v>
      </c>
      <c r="D124" t="s">
        <v>149</v>
      </c>
      <c r="E124" t="s">
        <v>80</v>
      </c>
      <c r="F124" t="s">
        <v>100</v>
      </c>
      <c r="G124" t="s">
        <v>83</v>
      </c>
      <c r="H124" t="s">
        <v>145</v>
      </c>
      <c r="I124" t="s">
        <v>320</v>
      </c>
      <c r="J124" t="s">
        <v>119</v>
      </c>
      <c r="K124" t="s">
        <v>434</v>
      </c>
      <c r="L124" t="s">
        <v>99</v>
      </c>
      <c r="M124" t="s">
        <v>435</v>
      </c>
      <c r="N124" t="s">
        <v>117</v>
      </c>
      <c r="O124" t="str">
        <f t="shared" si="1"/>
        <v>Green Bay Packers</v>
      </c>
    </row>
    <row r="125" spans="1:16" x14ac:dyDescent="0.25">
      <c r="A125" t="s">
        <v>134</v>
      </c>
      <c r="B125" t="s">
        <v>148</v>
      </c>
      <c r="C125" t="s">
        <v>259</v>
      </c>
      <c r="D125" t="s">
        <v>149</v>
      </c>
      <c r="E125" t="s">
        <v>76</v>
      </c>
      <c r="F125" t="s">
        <v>177</v>
      </c>
      <c r="G125" t="s">
        <v>88</v>
      </c>
      <c r="H125" t="s">
        <v>145</v>
      </c>
      <c r="I125" t="s">
        <v>106</v>
      </c>
      <c r="J125" t="s">
        <v>116</v>
      </c>
      <c r="K125" t="s">
        <v>351</v>
      </c>
      <c r="L125" t="s">
        <v>115</v>
      </c>
      <c r="M125" t="s">
        <v>412</v>
      </c>
      <c r="N125" t="s">
        <v>115</v>
      </c>
      <c r="O125" t="str">
        <f t="shared" si="1"/>
        <v>New England Patriots</v>
      </c>
    </row>
    <row r="126" spans="1:16" x14ac:dyDescent="0.25">
      <c r="A126" t="s">
        <v>134</v>
      </c>
      <c r="B126" t="s">
        <v>148</v>
      </c>
      <c r="C126" t="s">
        <v>259</v>
      </c>
      <c r="D126" t="s">
        <v>150</v>
      </c>
      <c r="E126" t="s">
        <v>67</v>
      </c>
      <c r="F126" t="s">
        <v>100</v>
      </c>
      <c r="G126" t="s">
        <v>81</v>
      </c>
      <c r="H126" t="s">
        <v>145</v>
      </c>
      <c r="I126" t="s">
        <v>103</v>
      </c>
      <c r="J126" t="s">
        <v>112</v>
      </c>
      <c r="K126" t="s">
        <v>356</v>
      </c>
      <c r="L126" t="s">
        <v>99</v>
      </c>
      <c r="M126" t="s">
        <v>436</v>
      </c>
      <c r="N126" t="s">
        <v>117</v>
      </c>
      <c r="O126" t="str">
        <f t="shared" si="1"/>
        <v>Buffalo Bills</v>
      </c>
    </row>
    <row r="127" spans="1:16" x14ac:dyDescent="0.25">
      <c r="A127" t="s">
        <v>134</v>
      </c>
      <c r="B127" t="s">
        <v>148</v>
      </c>
      <c r="C127" t="s">
        <v>259</v>
      </c>
      <c r="D127" t="s">
        <v>150</v>
      </c>
      <c r="E127" t="s">
        <v>79</v>
      </c>
      <c r="F127" t="s">
        <v>177</v>
      </c>
      <c r="G127" t="s">
        <v>87</v>
      </c>
      <c r="H127" t="s">
        <v>145</v>
      </c>
      <c r="I127" t="s">
        <v>123</v>
      </c>
      <c r="J127" t="s">
        <v>134</v>
      </c>
      <c r="K127" t="s">
        <v>321</v>
      </c>
      <c r="L127" t="s">
        <v>115</v>
      </c>
      <c r="M127" t="s">
        <v>345</v>
      </c>
      <c r="N127" t="s">
        <v>115</v>
      </c>
      <c r="O127" t="str">
        <f t="shared" si="1"/>
        <v>New Orleans Saints</v>
      </c>
    </row>
    <row r="128" spans="1:16" x14ac:dyDescent="0.25">
      <c r="A128" t="s">
        <v>134</v>
      </c>
      <c r="B128" t="s">
        <v>148</v>
      </c>
      <c r="C128" t="s">
        <v>259</v>
      </c>
      <c r="D128" t="s">
        <v>151</v>
      </c>
      <c r="E128" t="s">
        <v>92</v>
      </c>
      <c r="F128" t="s">
        <v>177</v>
      </c>
      <c r="G128" t="s">
        <v>71</v>
      </c>
      <c r="H128" t="s">
        <v>145</v>
      </c>
      <c r="I128" t="s">
        <v>126</v>
      </c>
      <c r="J128" t="s">
        <v>110</v>
      </c>
      <c r="K128" t="s">
        <v>424</v>
      </c>
      <c r="L128" t="s">
        <v>115</v>
      </c>
      <c r="M128" t="s">
        <v>437</v>
      </c>
      <c r="N128" t="s">
        <v>99</v>
      </c>
      <c r="O128" t="str">
        <f t="shared" si="1"/>
        <v>Washington Commanders</v>
      </c>
    </row>
    <row r="129" spans="1:16" x14ac:dyDescent="0.25">
      <c r="A129" t="s">
        <v>134</v>
      </c>
      <c r="B129" t="s">
        <v>148</v>
      </c>
      <c r="C129" t="s">
        <v>259</v>
      </c>
      <c r="D129" t="s">
        <v>151</v>
      </c>
      <c r="E129" t="s">
        <v>61</v>
      </c>
      <c r="F129" t="s">
        <v>100</v>
      </c>
      <c r="G129" t="s">
        <v>84</v>
      </c>
      <c r="H129" t="s">
        <v>145</v>
      </c>
      <c r="I129" t="s">
        <v>119</v>
      </c>
      <c r="J129" t="s">
        <v>102</v>
      </c>
      <c r="K129" t="s">
        <v>438</v>
      </c>
      <c r="L129" t="s">
        <v>99</v>
      </c>
      <c r="M129" t="s">
        <v>439</v>
      </c>
      <c r="N129" t="s">
        <v>99</v>
      </c>
      <c r="O129" t="str">
        <f t="shared" si="1"/>
        <v>Kansas City Chiefs</v>
      </c>
    </row>
    <row r="130" spans="1:16" x14ac:dyDescent="0.25">
      <c r="A130" t="s">
        <v>134</v>
      </c>
      <c r="B130" t="s">
        <v>148</v>
      </c>
      <c r="C130" t="s">
        <v>259</v>
      </c>
      <c r="D130" t="s">
        <v>151</v>
      </c>
      <c r="E130" t="s">
        <v>77</v>
      </c>
      <c r="F130" t="s">
        <v>177</v>
      </c>
      <c r="G130" t="s">
        <v>69</v>
      </c>
      <c r="H130" t="s">
        <v>145</v>
      </c>
      <c r="I130" t="s">
        <v>118</v>
      </c>
      <c r="J130" t="s">
        <v>133</v>
      </c>
      <c r="K130" t="s">
        <v>196</v>
      </c>
      <c r="L130" t="s">
        <v>117</v>
      </c>
      <c r="M130" t="s">
        <v>413</v>
      </c>
      <c r="N130" t="s">
        <v>117</v>
      </c>
      <c r="O130" t="str">
        <f t="shared" ref="O130:O193" si="2">IF(I130&gt;J130, E130, IF(I130&lt;J130, G130, "Tie"))</f>
        <v>Denver Broncos</v>
      </c>
    </row>
    <row r="131" spans="1:16" x14ac:dyDescent="0.25">
      <c r="A131" t="s">
        <v>134</v>
      </c>
      <c r="B131" t="s">
        <v>148</v>
      </c>
      <c r="C131" t="s">
        <v>259</v>
      </c>
      <c r="D131" t="s">
        <v>144</v>
      </c>
      <c r="E131" t="s">
        <v>90</v>
      </c>
      <c r="F131" t="s">
        <v>177</v>
      </c>
      <c r="G131" t="s">
        <v>75</v>
      </c>
      <c r="H131" t="s">
        <v>145</v>
      </c>
      <c r="I131" t="s">
        <v>320</v>
      </c>
      <c r="J131" t="s">
        <v>104</v>
      </c>
      <c r="K131" t="s">
        <v>440</v>
      </c>
      <c r="L131" t="s">
        <v>115</v>
      </c>
      <c r="M131" t="s">
        <v>376</v>
      </c>
      <c r="N131" t="s">
        <v>117</v>
      </c>
      <c r="O131" t="str">
        <f t="shared" si="2"/>
        <v>San Francisco 49ers</v>
      </c>
    </row>
    <row r="132" spans="1:16" x14ac:dyDescent="0.25">
      <c r="A132" t="s">
        <v>134</v>
      </c>
      <c r="B132" t="s">
        <v>152</v>
      </c>
      <c r="C132" t="s">
        <v>260</v>
      </c>
      <c r="D132" t="s">
        <v>147</v>
      </c>
      <c r="E132" t="s">
        <v>73</v>
      </c>
      <c r="F132" t="s">
        <v>177</v>
      </c>
      <c r="G132" t="s">
        <v>82</v>
      </c>
      <c r="H132" t="s">
        <v>145</v>
      </c>
      <c r="I132" t="s">
        <v>123</v>
      </c>
      <c r="J132" t="s">
        <v>126</v>
      </c>
      <c r="K132" t="s">
        <v>441</v>
      </c>
      <c r="L132" t="s">
        <v>99</v>
      </c>
      <c r="M132" t="s">
        <v>430</v>
      </c>
      <c r="N132" t="s">
        <v>117</v>
      </c>
      <c r="O132" t="str">
        <f t="shared" si="2"/>
        <v>Pittsburgh Steelers</v>
      </c>
      <c r="P132">
        <v>18</v>
      </c>
    </row>
    <row r="133" spans="1:16" x14ac:dyDescent="0.25">
      <c r="A133" t="s">
        <v>95</v>
      </c>
      <c r="B133" t="s">
        <v>137</v>
      </c>
      <c r="C133" t="s">
        <v>58</v>
      </c>
      <c r="D133" t="s">
        <v>138</v>
      </c>
      <c r="E133" t="s">
        <v>59</v>
      </c>
      <c r="F133" t="s">
        <v>177</v>
      </c>
      <c r="G133" t="s">
        <v>60</v>
      </c>
      <c r="H133" t="s">
        <v>177</v>
      </c>
      <c r="I133" t="s">
        <v>97</v>
      </c>
      <c r="J133" t="s">
        <v>98</v>
      </c>
      <c r="K133" t="s">
        <v>139</v>
      </c>
      <c r="L133" t="s">
        <v>140</v>
      </c>
      <c r="M133" t="s">
        <v>141</v>
      </c>
      <c r="N133" t="s">
        <v>142</v>
      </c>
      <c r="O133" t="str">
        <f t="shared" si="2"/>
        <v>Winner/tie</v>
      </c>
    </row>
    <row r="134" spans="1:16" x14ac:dyDescent="0.25">
      <c r="A134" t="s">
        <v>107</v>
      </c>
      <c r="B134" t="s">
        <v>143</v>
      </c>
      <c r="C134" t="s">
        <v>261</v>
      </c>
      <c r="D134" t="s">
        <v>147</v>
      </c>
      <c r="E134" t="s">
        <v>88</v>
      </c>
      <c r="F134" t="s">
        <v>177</v>
      </c>
      <c r="G134" t="s">
        <v>68</v>
      </c>
      <c r="H134" t="s">
        <v>145</v>
      </c>
      <c r="I134" t="s">
        <v>101</v>
      </c>
      <c r="J134" t="s">
        <v>114</v>
      </c>
      <c r="K134" t="s">
        <v>343</v>
      </c>
      <c r="L134" t="s">
        <v>99</v>
      </c>
      <c r="M134" t="s">
        <v>348</v>
      </c>
      <c r="N134" t="s">
        <v>99</v>
      </c>
      <c r="O134" t="str">
        <f t="shared" si="2"/>
        <v>New York Jets</v>
      </c>
      <c r="P134">
        <v>19</v>
      </c>
    </row>
    <row r="135" spans="1:16" x14ac:dyDescent="0.25">
      <c r="A135" t="s">
        <v>107</v>
      </c>
      <c r="B135" t="s">
        <v>148</v>
      </c>
      <c r="C135" t="s">
        <v>262</v>
      </c>
      <c r="D135" t="s">
        <v>149</v>
      </c>
      <c r="E135" t="s">
        <v>64</v>
      </c>
      <c r="F135" t="s">
        <v>177</v>
      </c>
      <c r="G135" t="s">
        <v>75</v>
      </c>
      <c r="H135" t="s">
        <v>145</v>
      </c>
      <c r="I135" t="s">
        <v>119</v>
      </c>
      <c r="J135" t="s">
        <v>101</v>
      </c>
      <c r="K135" t="s">
        <v>232</v>
      </c>
      <c r="L135" t="s">
        <v>99</v>
      </c>
      <c r="M135" t="s">
        <v>321</v>
      </c>
      <c r="N135" t="s">
        <v>115</v>
      </c>
      <c r="O135" t="str">
        <f t="shared" si="2"/>
        <v>Atlanta Falcons</v>
      </c>
    </row>
    <row r="136" spans="1:16" x14ac:dyDescent="0.25">
      <c r="A136" t="s">
        <v>107</v>
      </c>
      <c r="B136" t="s">
        <v>148</v>
      </c>
      <c r="C136" t="s">
        <v>262</v>
      </c>
      <c r="D136" t="s">
        <v>149</v>
      </c>
      <c r="E136" t="s">
        <v>67</v>
      </c>
      <c r="F136" t="s">
        <v>177</v>
      </c>
      <c r="G136" t="s">
        <v>86</v>
      </c>
      <c r="H136" t="s">
        <v>145</v>
      </c>
      <c r="I136" t="s">
        <v>320</v>
      </c>
      <c r="J136" t="s">
        <v>119</v>
      </c>
      <c r="K136" t="s">
        <v>442</v>
      </c>
      <c r="L136" t="s">
        <v>99</v>
      </c>
      <c r="M136" t="s">
        <v>332</v>
      </c>
      <c r="N136" t="s">
        <v>99</v>
      </c>
      <c r="O136" t="str">
        <f t="shared" si="2"/>
        <v>Buffalo Bills</v>
      </c>
    </row>
    <row r="137" spans="1:16" x14ac:dyDescent="0.25">
      <c r="A137" t="s">
        <v>107</v>
      </c>
      <c r="B137" t="s">
        <v>148</v>
      </c>
      <c r="C137" t="s">
        <v>262</v>
      </c>
      <c r="D137" t="s">
        <v>149</v>
      </c>
      <c r="E137" t="s">
        <v>69</v>
      </c>
      <c r="F137" t="s">
        <v>177</v>
      </c>
      <c r="G137" t="s">
        <v>87</v>
      </c>
      <c r="H137" t="s">
        <v>145</v>
      </c>
      <c r="I137" t="s">
        <v>121</v>
      </c>
      <c r="J137" t="s">
        <v>116</v>
      </c>
      <c r="K137" t="s">
        <v>443</v>
      </c>
      <c r="L137" t="s">
        <v>99</v>
      </c>
      <c r="M137" t="s">
        <v>365</v>
      </c>
      <c r="N137" t="s">
        <v>115</v>
      </c>
      <c r="O137" t="str">
        <f t="shared" si="2"/>
        <v>Carolina Panthers</v>
      </c>
    </row>
    <row r="138" spans="1:16" x14ac:dyDescent="0.25">
      <c r="A138" t="s">
        <v>107</v>
      </c>
      <c r="B138" t="s">
        <v>148</v>
      </c>
      <c r="C138" t="s">
        <v>262</v>
      </c>
      <c r="D138" t="s">
        <v>149</v>
      </c>
      <c r="E138" t="s">
        <v>70</v>
      </c>
      <c r="F138" t="s">
        <v>177</v>
      </c>
      <c r="G138" t="s">
        <v>84</v>
      </c>
      <c r="H138" t="s">
        <v>145</v>
      </c>
      <c r="I138" t="s">
        <v>128</v>
      </c>
      <c r="J138" t="s">
        <v>104</v>
      </c>
      <c r="K138" t="s">
        <v>332</v>
      </c>
      <c r="L138" t="s">
        <v>99</v>
      </c>
      <c r="M138" t="s">
        <v>318</v>
      </c>
      <c r="N138" t="s">
        <v>117</v>
      </c>
      <c r="O138" t="str">
        <f t="shared" si="2"/>
        <v>Cincinnati Bengals</v>
      </c>
    </row>
    <row r="139" spans="1:16" x14ac:dyDescent="0.25">
      <c r="A139" t="s">
        <v>107</v>
      </c>
      <c r="B139" t="s">
        <v>148</v>
      </c>
      <c r="C139" t="s">
        <v>262</v>
      </c>
      <c r="D139" t="s">
        <v>149</v>
      </c>
      <c r="E139" t="s">
        <v>79</v>
      </c>
      <c r="F139" t="s">
        <v>100</v>
      </c>
      <c r="G139" t="s">
        <v>74</v>
      </c>
      <c r="H139" t="s">
        <v>145</v>
      </c>
      <c r="I139" t="s">
        <v>119</v>
      </c>
      <c r="J139" t="s">
        <v>112</v>
      </c>
      <c r="K139" t="s">
        <v>444</v>
      </c>
      <c r="L139" t="s">
        <v>115</v>
      </c>
      <c r="M139" t="s">
        <v>376</v>
      </c>
      <c r="N139" t="s">
        <v>105</v>
      </c>
      <c r="O139" t="str">
        <f t="shared" si="2"/>
        <v>Los Angeles Chargers</v>
      </c>
    </row>
    <row r="140" spans="1:16" x14ac:dyDescent="0.25">
      <c r="A140" t="s">
        <v>107</v>
      </c>
      <c r="B140" t="s">
        <v>148</v>
      </c>
      <c r="C140" t="s">
        <v>262</v>
      </c>
      <c r="D140" t="s">
        <v>149</v>
      </c>
      <c r="E140" t="s">
        <v>65</v>
      </c>
      <c r="F140" t="s">
        <v>177</v>
      </c>
      <c r="G140" t="s">
        <v>77</v>
      </c>
      <c r="H140" t="s">
        <v>145</v>
      </c>
      <c r="I140" t="s">
        <v>128</v>
      </c>
      <c r="J140" t="s">
        <v>112</v>
      </c>
      <c r="K140" t="s">
        <v>313</v>
      </c>
      <c r="L140" t="s">
        <v>115</v>
      </c>
      <c r="M140" t="s">
        <v>445</v>
      </c>
      <c r="N140" t="s">
        <v>99</v>
      </c>
      <c r="O140" t="str">
        <f t="shared" si="2"/>
        <v>Baltimore Ravens</v>
      </c>
    </row>
    <row r="141" spans="1:16" x14ac:dyDescent="0.25">
      <c r="A141" t="s">
        <v>107</v>
      </c>
      <c r="B141" t="s">
        <v>148</v>
      </c>
      <c r="C141" t="s">
        <v>262</v>
      </c>
      <c r="D141" t="s">
        <v>149</v>
      </c>
      <c r="E141" t="s">
        <v>72</v>
      </c>
      <c r="F141" t="s">
        <v>177</v>
      </c>
      <c r="G141" t="s">
        <v>76</v>
      </c>
      <c r="H141" t="s">
        <v>145</v>
      </c>
      <c r="I141" t="s">
        <v>102</v>
      </c>
      <c r="J141" t="s">
        <v>108</v>
      </c>
      <c r="K141" t="s">
        <v>196</v>
      </c>
      <c r="L141" t="s">
        <v>99</v>
      </c>
      <c r="M141" t="s">
        <v>240</v>
      </c>
      <c r="N141" t="s">
        <v>105</v>
      </c>
      <c r="O141" t="str">
        <f t="shared" si="2"/>
        <v>Tennessee Titans</v>
      </c>
    </row>
    <row r="142" spans="1:16" x14ac:dyDescent="0.25">
      <c r="A142" t="s">
        <v>107</v>
      </c>
      <c r="B142" t="s">
        <v>148</v>
      </c>
      <c r="C142" t="s">
        <v>262</v>
      </c>
      <c r="D142" t="s">
        <v>149</v>
      </c>
      <c r="E142" t="s">
        <v>92</v>
      </c>
      <c r="F142" t="s">
        <v>100</v>
      </c>
      <c r="G142" t="s">
        <v>82</v>
      </c>
      <c r="H142" t="s">
        <v>145</v>
      </c>
      <c r="I142" t="s">
        <v>119</v>
      </c>
      <c r="J142" t="s">
        <v>116</v>
      </c>
      <c r="K142" t="s">
        <v>231</v>
      </c>
      <c r="L142" t="s">
        <v>115</v>
      </c>
      <c r="M142" t="s">
        <v>425</v>
      </c>
      <c r="N142" t="s">
        <v>99</v>
      </c>
      <c r="O142" t="str">
        <f t="shared" si="2"/>
        <v>Washington Commanders</v>
      </c>
    </row>
    <row r="143" spans="1:16" x14ac:dyDescent="0.25">
      <c r="A143" t="s">
        <v>107</v>
      </c>
      <c r="B143" t="s">
        <v>148</v>
      </c>
      <c r="C143" t="s">
        <v>262</v>
      </c>
      <c r="D143" t="s">
        <v>150</v>
      </c>
      <c r="E143" t="s">
        <v>62</v>
      </c>
      <c r="F143" t="s">
        <v>177</v>
      </c>
      <c r="G143" t="s">
        <v>71</v>
      </c>
      <c r="H143" t="s">
        <v>145</v>
      </c>
      <c r="I143" t="s">
        <v>131</v>
      </c>
      <c r="J143" t="s">
        <v>107</v>
      </c>
      <c r="K143" t="s">
        <v>399</v>
      </c>
      <c r="L143" t="s">
        <v>117</v>
      </c>
      <c r="M143" t="s">
        <v>362</v>
      </c>
      <c r="N143" t="s">
        <v>115</v>
      </c>
      <c r="O143" t="str">
        <f t="shared" si="2"/>
        <v>Chicago Bears</v>
      </c>
    </row>
    <row r="144" spans="1:16" x14ac:dyDescent="0.25">
      <c r="A144" t="s">
        <v>107</v>
      </c>
      <c r="B144" t="s">
        <v>148</v>
      </c>
      <c r="C144" t="s">
        <v>262</v>
      </c>
      <c r="D144" t="s">
        <v>150</v>
      </c>
      <c r="E144" t="s">
        <v>89</v>
      </c>
      <c r="F144" t="s">
        <v>177</v>
      </c>
      <c r="G144" t="s">
        <v>83</v>
      </c>
      <c r="H144" t="s">
        <v>145</v>
      </c>
      <c r="I144" t="s">
        <v>118</v>
      </c>
      <c r="J144" t="s">
        <v>121</v>
      </c>
      <c r="K144" t="s">
        <v>382</v>
      </c>
      <c r="L144" t="s">
        <v>99</v>
      </c>
      <c r="M144" t="s">
        <v>446</v>
      </c>
      <c r="N144" t="s">
        <v>105</v>
      </c>
      <c r="O144" t="str">
        <f t="shared" si="2"/>
        <v>Philadelphia Eagles</v>
      </c>
    </row>
    <row r="145" spans="1:16" x14ac:dyDescent="0.25">
      <c r="A145" t="s">
        <v>107</v>
      </c>
      <c r="B145" t="s">
        <v>148</v>
      </c>
      <c r="C145" t="s">
        <v>262</v>
      </c>
      <c r="D145" t="s">
        <v>151</v>
      </c>
      <c r="E145" t="s">
        <v>78</v>
      </c>
      <c r="F145" t="s">
        <v>100</v>
      </c>
      <c r="G145" t="s">
        <v>80</v>
      </c>
      <c r="H145" t="s">
        <v>145</v>
      </c>
      <c r="I145" t="s">
        <v>104</v>
      </c>
      <c r="J145" t="s">
        <v>133</v>
      </c>
      <c r="K145" t="s">
        <v>447</v>
      </c>
      <c r="L145" t="s">
        <v>115</v>
      </c>
      <c r="M145" t="s">
        <v>448</v>
      </c>
      <c r="N145" t="s">
        <v>99</v>
      </c>
      <c r="O145" t="str">
        <f t="shared" si="2"/>
        <v>Detroit Lions</v>
      </c>
    </row>
    <row r="146" spans="1:16" x14ac:dyDescent="0.25">
      <c r="A146" t="s">
        <v>107</v>
      </c>
      <c r="B146" t="s">
        <v>148</v>
      </c>
      <c r="C146" t="s">
        <v>262</v>
      </c>
      <c r="D146" t="s">
        <v>151</v>
      </c>
      <c r="E146" t="s">
        <v>85</v>
      </c>
      <c r="F146" t="s">
        <v>100</v>
      </c>
      <c r="G146" t="s">
        <v>81</v>
      </c>
      <c r="H146" t="s">
        <v>145</v>
      </c>
      <c r="I146" t="s">
        <v>123</v>
      </c>
      <c r="J146" t="s">
        <v>102</v>
      </c>
      <c r="K146" t="s">
        <v>345</v>
      </c>
      <c r="L146" t="s">
        <v>99</v>
      </c>
      <c r="M146" t="s">
        <v>375</v>
      </c>
      <c r="N146" t="s">
        <v>105</v>
      </c>
      <c r="O146" t="str">
        <f t="shared" si="2"/>
        <v>Los Angeles Rams</v>
      </c>
    </row>
    <row r="147" spans="1:16" x14ac:dyDescent="0.25">
      <c r="A147" t="s">
        <v>107</v>
      </c>
      <c r="B147" t="s">
        <v>148</v>
      </c>
      <c r="C147" t="s">
        <v>262</v>
      </c>
      <c r="D147" t="s">
        <v>144</v>
      </c>
      <c r="E147" t="s">
        <v>63</v>
      </c>
      <c r="F147" t="s">
        <v>177</v>
      </c>
      <c r="G147" t="s">
        <v>66</v>
      </c>
      <c r="H147" t="s">
        <v>145</v>
      </c>
      <c r="I147" t="s">
        <v>101</v>
      </c>
      <c r="J147" t="s">
        <v>114</v>
      </c>
      <c r="K147" t="s">
        <v>449</v>
      </c>
      <c r="L147" t="s">
        <v>105</v>
      </c>
      <c r="M147" t="s">
        <v>357</v>
      </c>
      <c r="N147" t="s">
        <v>117</v>
      </c>
      <c r="O147" t="str">
        <f t="shared" si="2"/>
        <v>Minnesota Vikings</v>
      </c>
    </row>
    <row r="148" spans="1:16" x14ac:dyDescent="0.25">
      <c r="A148" t="s">
        <v>107</v>
      </c>
      <c r="B148" t="s">
        <v>152</v>
      </c>
      <c r="C148" t="s">
        <v>263</v>
      </c>
      <c r="D148" t="s">
        <v>147</v>
      </c>
      <c r="E148" t="s">
        <v>61</v>
      </c>
      <c r="F148" t="s">
        <v>177</v>
      </c>
      <c r="G148" t="s">
        <v>91</v>
      </c>
      <c r="H148" t="s">
        <v>145</v>
      </c>
      <c r="I148" t="s">
        <v>320</v>
      </c>
      <c r="J148" t="s">
        <v>104</v>
      </c>
      <c r="K148" t="s">
        <v>384</v>
      </c>
      <c r="L148" t="s">
        <v>99</v>
      </c>
      <c r="M148" t="s">
        <v>413</v>
      </c>
      <c r="N148" t="s">
        <v>115</v>
      </c>
      <c r="O148" t="str">
        <f t="shared" si="2"/>
        <v>Kansas City Chiefs</v>
      </c>
      <c r="P148">
        <v>20</v>
      </c>
    </row>
    <row r="149" spans="1:16" x14ac:dyDescent="0.25">
      <c r="A149" t="s">
        <v>95</v>
      </c>
      <c r="B149" t="s">
        <v>137</v>
      </c>
      <c r="C149" t="s">
        <v>58</v>
      </c>
      <c r="D149" t="s">
        <v>138</v>
      </c>
      <c r="E149" t="s">
        <v>59</v>
      </c>
      <c r="F149" t="s">
        <v>177</v>
      </c>
      <c r="G149" t="s">
        <v>60</v>
      </c>
      <c r="H149" t="s">
        <v>177</v>
      </c>
      <c r="I149" t="s">
        <v>97</v>
      </c>
      <c r="J149" t="s">
        <v>98</v>
      </c>
      <c r="K149" t="s">
        <v>139</v>
      </c>
      <c r="L149" t="s">
        <v>140</v>
      </c>
      <c r="M149" t="s">
        <v>141</v>
      </c>
      <c r="N149" t="s">
        <v>142</v>
      </c>
      <c r="O149" t="str">
        <f t="shared" si="2"/>
        <v>Winner/tie</v>
      </c>
    </row>
    <row r="150" spans="1:16" x14ac:dyDescent="0.25">
      <c r="A150" t="s">
        <v>112</v>
      </c>
      <c r="B150" t="s">
        <v>143</v>
      </c>
      <c r="C150" t="s">
        <v>264</v>
      </c>
      <c r="D150" t="s">
        <v>147</v>
      </c>
      <c r="E150" t="s">
        <v>65</v>
      </c>
      <c r="F150" t="s">
        <v>177</v>
      </c>
      <c r="G150" t="s">
        <v>70</v>
      </c>
      <c r="H150" t="s">
        <v>145</v>
      </c>
      <c r="I150" t="s">
        <v>364</v>
      </c>
      <c r="J150" t="s">
        <v>113</v>
      </c>
      <c r="K150" t="s">
        <v>368</v>
      </c>
      <c r="L150" t="s">
        <v>115</v>
      </c>
      <c r="M150" t="s">
        <v>450</v>
      </c>
      <c r="N150" t="s">
        <v>99</v>
      </c>
      <c r="O150" t="str">
        <f t="shared" si="2"/>
        <v>Baltimore Ravens</v>
      </c>
      <c r="P150">
        <v>21</v>
      </c>
    </row>
    <row r="151" spans="1:16" x14ac:dyDescent="0.25">
      <c r="A151" t="s">
        <v>112</v>
      </c>
      <c r="B151" t="s">
        <v>148</v>
      </c>
      <c r="C151" t="s">
        <v>265</v>
      </c>
      <c r="D151" t="s">
        <v>155</v>
      </c>
      <c r="E151" t="s">
        <v>69</v>
      </c>
      <c r="F151" t="s">
        <v>177</v>
      </c>
      <c r="G151" t="s">
        <v>82</v>
      </c>
      <c r="H151" t="s">
        <v>145</v>
      </c>
      <c r="I151" t="s">
        <v>102</v>
      </c>
      <c r="J151" t="s">
        <v>108</v>
      </c>
      <c r="K151" t="s">
        <v>315</v>
      </c>
      <c r="L151" t="s">
        <v>99</v>
      </c>
      <c r="M151" t="s">
        <v>444</v>
      </c>
      <c r="N151" t="s">
        <v>105</v>
      </c>
      <c r="O151" t="str">
        <f t="shared" si="2"/>
        <v>Carolina Panthers</v>
      </c>
    </row>
    <row r="152" spans="1:16" x14ac:dyDescent="0.25">
      <c r="A152" t="s">
        <v>112</v>
      </c>
      <c r="B152" t="s">
        <v>148</v>
      </c>
      <c r="C152" t="s">
        <v>265</v>
      </c>
      <c r="D152" t="s">
        <v>149</v>
      </c>
      <c r="E152" t="s">
        <v>76</v>
      </c>
      <c r="F152" t="s">
        <v>100</v>
      </c>
      <c r="G152" t="s">
        <v>71</v>
      </c>
      <c r="H152" t="s">
        <v>145</v>
      </c>
      <c r="I152" t="s">
        <v>127</v>
      </c>
      <c r="J152" t="s">
        <v>105</v>
      </c>
      <c r="K152" t="s">
        <v>387</v>
      </c>
      <c r="L152" t="s">
        <v>99</v>
      </c>
      <c r="M152" t="s">
        <v>451</v>
      </c>
      <c r="N152" t="s">
        <v>115</v>
      </c>
      <c r="O152" t="str">
        <f t="shared" si="2"/>
        <v>Chicago Bears</v>
      </c>
    </row>
    <row r="153" spans="1:16" x14ac:dyDescent="0.25">
      <c r="A153" t="s">
        <v>112</v>
      </c>
      <c r="B153" t="s">
        <v>148</v>
      </c>
      <c r="C153" t="s">
        <v>265</v>
      </c>
      <c r="D153" t="s">
        <v>149</v>
      </c>
      <c r="E153" t="s">
        <v>73</v>
      </c>
      <c r="F153" t="s">
        <v>100</v>
      </c>
      <c r="G153" t="s">
        <v>92</v>
      </c>
      <c r="H153" t="s">
        <v>145</v>
      </c>
      <c r="I153" t="s">
        <v>118</v>
      </c>
      <c r="J153" t="s">
        <v>119</v>
      </c>
      <c r="K153" t="s">
        <v>190</v>
      </c>
      <c r="L153" t="s">
        <v>117</v>
      </c>
      <c r="M153" t="s">
        <v>452</v>
      </c>
      <c r="N153" t="s">
        <v>99</v>
      </c>
      <c r="O153" t="str">
        <f t="shared" si="2"/>
        <v>Pittsburgh Steelers</v>
      </c>
    </row>
    <row r="154" spans="1:16" x14ac:dyDescent="0.25">
      <c r="A154" t="s">
        <v>112</v>
      </c>
      <c r="B154" t="s">
        <v>148</v>
      </c>
      <c r="C154" t="s">
        <v>265</v>
      </c>
      <c r="D154" t="s">
        <v>149</v>
      </c>
      <c r="E154" t="s">
        <v>90</v>
      </c>
      <c r="F154" t="s">
        <v>100</v>
      </c>
      <c r="G154" t="s">
        <v>91</v>
      </c>
      <c r="H154" t="s">
        <v>145</v>
      </c>
      <c r="I154" t="s">
        <v>121</v>
      </c>
      <c r="J154" t="s">
        <v>102</v>
      </c>
      <c r="K154" t="s">
        <v>453</v>
      </c>
      <c r="L154" t="s">
        <v>99</v>
      </c>
      <c r="M154" t="s">
        <v>446</v>
      </c>
      <c r="N154" t="s">
        <v>115</v>
      </c>
      <c r="O154" t="str">
        <f t="shared" si="2"/>
        <v>San Francisco 49ers</v>
      </c>
    </row>
    <row r="155" spans="1:16" x14ac:dyDescent="0.25">
      <c r="A155" t="s">
        <v>112</v>
      </c>
      <c r="B155" t="s">
        <v>148</v>
      </c>
      <c r="C155" t="s">
        <v>265</v>
      </c>
      <c r="D155" t="s">
        <v>149</v>
      </c>
      <c r="E155" t="s">
        <v>87</v>
      </c>
      <c r="F155" t="s">
        <v>177</v>
      </c>
      <c r="G155" t="s">
        <v>64</v>
      </c>
      <c r="H155" t="s">
        <v>145</v>
      </c>
      <c r="I155" t="s">
        <v>102</v>
      </c>
      <c r="J155" t="s">
        <v>108</v>
      </c>
      <c r="K155" t="s">
        <v>300</v>
      </c>
      <c r="L155" t="s">
        <v>115</v>
      </c>
      <c r="M155" t="s">
        <v>454</v>
      </c>
      <c r="N155" t="s">
        <v>99</v>
      </c>
      <c r="O155" t="str">
        <f t="shared" si="2"/>
        <v>New Orleans Saints</v>
      </c>
    </row>
    <row r="156" spans="1:16" x14ac:dyDescent="0.25">
      <c r="A156" t="s">
        <v>112</v>
      </c>
      <c r="B156" t="s">
        <v>148</v>
      </c>
      <c r="C156" t="s">
        <v>265</v>
      </c>
      <c r="D156" t="s">
        <v>149</v>
      </c>
      <c r="E156" t="s">
        <v>67</v>
      </c>
      <c r="F156" t="s">
        <v>100</v>
      </c>
      <c r="G156" t="s">
        <v>66</v>
      </c>
      <c r="H156" t="s">
        <v>145</v>
      </c>
      <c r="I156" t="s">
        <v>320</v>
      </c>
      <c r="J156" t="s">
        <v>102</v>
      </c>
      <c r="K156" t="s">
        <v>449</v>
      </c>
      <c r="L156" t="s">
        <v>117</v>
      </c>
      <c r="M156" t="s">
        <v>455</v>
      </c>
      <c r="N156" t="s">
        <v>130</v>
      </c>
      <c r="O156" t="str">
        <f t="shared" si="2"/>
        <v>Buffalo Bills</v>
      </c>
    </row>
    <row r="157" spans="1:16" x14ac:dyDescent="0.25">
      <c r="A157" t="s">
        <v>112</v>
      </c>
      <c r="B157" t="s">
        <v>148</v>
      </c>
      <c r="C157" t="s">
        <v>265</v>
      </c>
      <c r="D157" t="s">
        <v>149</v>
      </c>
      <c r="E157" t="s">
        <v>61</v>
      </c>
      <c r="F157" t="s">
        <v>177</v>
      </c>
      <c r="G157" t="s">
        <v>77</v>
      </c>
      <c r="H157" t="s">
        <v>145</v>
      </c>
      <c r="I157" t="s">
        <v>109</v>
      </c>
      <c r="J157" t="s">
        <v>133</v>
      </c>
      <c r="K157" t="s">
        <v>234</v>
      </c>
      <c r="L157" t="s">
        <v>115</v>
      </c>
      <c r="M157" t="s">
        <v>227</v>
      </c>
      <c r="N157" t="s">
        <v>115</v>
      </c>
      <c r="O157" t="str">
        <f t="shared" si="2"/>
        <v>Kansas City Chiefs</v>
      </c>
    </row>
    <row r="158" spans="1:16" x14ac:dyDescent="0.25">
      <c r="A158" t="s">
        <v>112</v>
      </c>
      <c r="B158" t="s">
        <v>148</v>
      </c>
      <c r="C158" t="s">
        <v>265</v>
      </c>
      <c r="D158" t="s">
        <v>149</v>
      </c>
      <c r="E158" t="s">
        <v>63</v>
      </c>
      <c r="F158" t="s">
        <v>100</v>
      </c>
      <c r="G158" t="s">
        <v>83</v>
      </c>
      <c r="H158" t="s">
        <v>145</v>
      </c>
      <c r="I158" t="s">
        <v>124</v>
      </c>
      <c r="J158" t="s">
        <v>111</v>
      </c>
      <c r="K158" t="s">
        <v>456</v>
      </c>
      <c r="L158" t="s">
        <v>105</v>
      </c>
      <c r="M158" t="s">
        <v>457</v>
      </c>
      <c r="N158" t="s">
        <v>105</v>
      </c>
      <c r="O158" t="str">
        <f t="shared" si="2"/>
        <v>Jacksonville Jaguars</v>
      </c>
    </row>
    <row r="159" spans="1:16" x14ac:dyDescent="0.25">
      <c r="A159" t="s">
        <v>112</v>
      </c>
      <c r="B159" t="s">
        <v>148</v>
      </c>
      <c r="C159" t="s">
        <v>265</v>
      </c>
      <c r="D159" t="s">
        <v>150</v>
      </c>
      <c r="E159" t="s">
        <v>79</v>
      </c>
      <c r="F159" t="s">
        <v>177</v>
      </c>
      <c r="G159" t="s">
        <v>72</v>
      </c>
      <c r="H159" t="s">
        <v>145</v>
      </c>
      <c r="I159" t="s">
        <v>119</v>
      </c>
      <c r="J159" t="s">
        <v>108</v>
      </c>
      <c r="K159" t="s">
        <v>404</v>
      </c>
      <c r="L159" t="s">
        <v>115</v>
      </c>
      <c r="M159" t="s">
        <v>385</v>
      </c>
      <c r="N159" t="s">
        <v>115</v>
      </c>
      <c r="O159" t="str">
        <f t="shared" si="2"/>
        <v>Los Angeles Chargers</v>
      </c>
    </row>
    <row r="160" spans="1:16" x14ac:dyDescent="0.25">
      <c r="A160" t="s">
        <v>112</v>
      </c>
      <c r="B160" t="s">
        <v>148</v>
      </c>
      <c r="C160" t="s">
        <v>265</v>
      </c>
      <c r="D160" t="s">
        <v>151</v>
      </c>
      <c r="E160" t="s">
        <v>89</v>
      </c>
      <c r="F160" t="s">
        <v>100</v>
      </c>
      <c r="G160" t="s">
        <v>75</v>
      </c>
      <c r="H160" t="s">
        <v>145</v>
      </c>
      <c r="I160" t="s">
        <v>113</v>
      </c>
      <c r="J160" t="s">
        <v>125</v>
      </c>
      <c r="K160" t="s">
        <v>458</v>
      </c>
      <c r="L160" t="s">
        <v>117</v>
      </c>
      <c r="M160" t="s">
        <v>459</v>
      </c>
      <c r="N160" t="s">
        <v>132</v>
      </c>
      <c r="O160" t="str">
        <f t="shared" si="2"/>
        <v>Dallas Cowboys</v>
      </c>
    </row>
    <row r="161" spans="1:16" x14ac:dyDescent="0.25">
      <c r="A161" t="s">
        <v>112</v>
      </c>
      <c r="B161" t="s">
        <v>148</v>
      </c>
      <c r="C161" t="s">
        <v>265</v>
      </c>
      <c r="D161" t="s">
        <v>151</v>
      </c>
      <c r="E161" t="s">
        <v>62</v>
      </c>
      <c r="F161" t="s">
        <v>177</v>
      </c>
      <c r="G161" t="s">
        <v>88</v>
      </c>
      <c r="H161" t="s">
        <v>145</v>
      </c>
      <c r="I161" t="s">
        <v>103</v>
      </c>
      <c r="J161" t="s">
        <v>125</v>
      </c>
      <c r="K161" t="s">
        <v>460</v>
      </c>
      <c r="L161" t="s">
        <v>115</v>
      </c>
      <c r="M161" t="s">
        <v>461</v>
      </c>
      <c r="N161" t="s">
        <v>99</v>
      </c>
      <c r="O161" t="str">
        <f t="shared" si="2"/>
        <v>New York Jets</v>
      </c>
    </row>
    <row r="162" spans="1:16" x14ac:dyDescent="0.25">
      <c r="A162" t="s">
        <v>112</v>
      </c>
      <c r="B162" t="s">
        <v>148</v>
      </c>
      <c r="C162" t="s">
        <v>265</v>
      </c>
      <c r="D162" t="s">
        <v>144</v>
      </c>
      <c r="E162" t="s">
        <v>78</v>
      </c>
      <c r="F162" t="s">
        <v>100</v>
      </c>
      <c r="G162" t="s">
        <v>68</v>
      </c>
      <c r="H162" t="s">
        <v>145</v>
      </c>
      <c r="I162" t="s">
        <v>123</v>
      </c>
      <c r="J162" t="s">
        <v>121</v>
      </c>
      <c r="K162" t="s">
        <v>336</v>
      </c>
      <c r="L162" t="s">
        <v>132</v>
      </c>
      <c r="M162" t="s">
        <v>351</v>
      </c>
      <c r="N162" t="s">
        <v>117</v>
      </c>
      <c r="O162" t="str">
        <f t="shared" si="2"/>
        <v>Detroit Lions</v>
      </c>
    </row>
    <row r="163" spans="1:16" x14ac:dyDescent="0.25">
      <c r="A163" t="s">
        <v>112</v>
      </c>
      <c r="B163" t="s">
        <v>152</v>
      </c>
      <c r="C163" t="s">
        <v>266</v>
      </c>
      <c r="D163" t="s">
        <v>147</v>
      </c>
      <c r="E163" t="s">
        <v>86</v>
      </c>
      <c r="F163" t="s">
        <v>100</v>
      </c>
      <c r="G163" t="s">
        <v>85</v>
      </c>
      <c r="H163" t="s">
        <v>145</v>
      </c>
      <c r="I163" t="s">
        <v>121</v>
      </c>
      <c r="J163" t="s">
        <v>110</v>
      </c>
      <c r="K163" t="s">
        <v>462</v>
      </c>
      <c r="L163" t="s">
        <v>117</v>
      </c>
      <c r="M163" t="s">
        <v>463</v>
      </c>
      <c r="N163" t="s">
        <v>117</v>
      </c>
      <c r="O163" t="str">
        <f t="shared" si="2"/>
        <v>Miami Dolphins</v>
      </c>
      <c r="P163">
        <v>22</v>
      </c>
    </row>
    <row r="164" spans="1:16" x14ac:dyDescent="0.25">
      <c r="A164" t="s">
        <v>95</v>
      </c>
      <c r="B164" t="s">
        <v>137</v>
      </c>
      <c r="C164" t="s">
        <v>58</v>
      </c>
      <c r="D164" t="s">
        <v>138</v>
      </c>
      <c r="E164" t="s">
        <v>59</v>
      </c>
      <c r="F164" t="s">
        <v>177</v>
      </c>
      <c r="G164" t="s">
        <v>60</v>
      </c>
      <c r="H164" t="s">
        <v>177</v>
      </c>
      <c r="I164" t="s">
        <v>97</v>
      </c>
      <c r="J164" t="s">
        <v>98</v>
      </c>
      <c r="K164" t="s">
        <v>139</v>
      </c>
      <c r="L164" t="s">
        <v>140</v>
      </c>
      <c r="M164" t="s">
        <v>141</v>
      </c>
      <c r="N164" t="s">
        <v>142</v>
      </c>
      <c r="O164" t="str">
        <f t="shared" si="2"/>
        <v>Winner/tie</v>
      </c>
    </row>
    <row r="165" spans="1:16" x14ac:dyDescent="0.25">
      <c r="A165" t="s">
        <v>129</v>
      </c>
      <c r="B165" t="s">
        <v>143</v>
      </c>
      <c r="C165" t="s">
        <v>267</v>
      </c>
      <c r="D165" t="s">
        <v>147</v>
      </c>
      <c r="E165" t="s">
        <v>89</v>
      </c>
      <c r="F165" t="s">
        <v>177</v>
      </c>
      <c r="G165" t="s">
        <v>92</v>
      </c>
      <c r="H165" t="s">
        <v>145</v>
      </c>
      <c r="I165" t="s">
        <v>123</v>
      </c>
      <c r="J165" t="s">
        <v>126</v>
      </c>
      <c r="K165" t="s">
        <v>379</v>
      </c>
      <c r="L165" t="s">
        <v>115</v>
      </c>
      <c r="M165" t="s">
        <v>347</v>
      </c>
      <c r="N165" t="s">
        <v>99</v>
      </c>
      <c r="O165" t="str">
        <f t="shared" si="2"/>
        <v>Philadelphia Eagles</v>
      </c>
      <c r="P165">
        <v>23</v>
      </c>
    </row>
    <row r="166" spans="1:16" x14ac:dyDescent="0.25">
      <c r="A166" t="s">
        <v>129</v>
      </c>
      <c r="B166" t="s">
        <v>148</v>
      </c>
      <c r="C166" t="s">
        <v>268</v>
      </c>
      <c r="D166" t="s">
        <v>149</v>
      </c>
      <c r="E166" t="s">
        <v>80</v>
      </c>
      <c r="F166" t="s">
        <v>100</v>
      </c>
      <c r="G166" t="s">
        <v>71</v>
      </c>
      <c r="H166" t="s">
        <v>145</v>
      </c>
      <c r="I166" t="s">
        <v>102</v>
      </c>
      <c r="J166" t="s">
        <v>127</v>
      </c>
      <c r="K166" t="s">
        <v>345</v>
      </c>
      <c r="L166" t="s">
        <v>99</v>
      </c>
      <c r="M166" t="s">
        <v>409</v>
      </c>
      <c r="N166" t="s">
        <v>115</v>
      </c>
      <c r="O166" t="str">
        <f t="shared" si="2"/>
        <v>Green Bay Packers</v>
      </c>
    </row>
    <row r="167" spans="1:16" x14ac:dyDescent="0.25">
      <c r="A167" t="s">
        <v>129</v>
      </c>
      <c r="B167" t="s">
        <v>148</v>
      </c>
      <c r="C167" t="s">
        <v>268</v>
      </c>
      <c r="D167" t="s">
        <v>149</v>
      </c>
      <c r="E167" t="s">
        <v>87</v>
      </c>
      <c r="F167" t="s">
        <v>177</v>
      </c>
      <c r="G167" t="s">
        <v>74</v>
      </c>
      <c r="H167" t="s">
        <v>145</v>
      </c>
      <c r="I167" t="s">
        <v>364</v>
      </c>
      <c r="J167" t="s">
        <v>133</v>
      </c>
      <c r="K167" t="s">
        <v>464</v>
      </c>
      <c r="L167" t="s">
        <v>117</v>
      </c>
      <c r="M167" t="s">
        <v>465</v>
      </c>
      <c r="N167" t="s">
        <v>115</v>
      </c>
      <c r="O167" t="str">
        <f t="shared" si="2"/>
        <v>New Orleans Saints</v>
      </c>
    </row>
    <row r="168" spans="1:16" x14ac:dyDescent="0.25">
      <c r="A168" t="s">
        <v>129</v>
      </c>
      <c r="B168" t="s">
        <v>148</v>
      </c>
      <c r="C168" t="s">
        <v>268</v>
      </c>
      <c r="D168" t="s">
        <v>149</v>
      </c>
      <c r="E168" t="s">
        <v>78</v>
      </c>
      <c r="F168" t="s">
        <v>177</v>
      </c>
      <c r="G168" t="s">
        <v>83</v>
      </c>
      <c r="H168" t="s">
        <v>145</v>
      </c>
      <c r="I168" t="s">
        <v>427</v>
      </c>
      <c r="J168" t="s">
        <v>125</v>
      </c>
      <c r="K168" t="s">
        <v>466</v>
      </c>
      <c r="L168" t="s">
        <v>115</v>
      </c>
      <c r="M168" t="s">
        <v>467</v>
      </c>
      <c r="N168" t="s">
        <v>99</v>
      </c>
      <c r="O168" t="str">
        <f t="shared" si="2"/>
        <v>Jacksonville Jaguars</v>
      </c>
    </row>
    <row r="169" spans="1:16" x14ac:dyDescent="0.25">
      <c r="A169" t="s">
        <v>129</v>
      </c>
      <c r="B169" t="s">
        <v>148</v>
      </c>
      <c r="C169" t="s">
        <v>268</v>
      </c>
      <c r="D169" t="s">
        <v>149</v>
      </c>
      <c r="E169" t="s">
        <v>86</v>
      </c>
      <c r="F169" t="s">
        <v>177</v>
      </c>
      <c r="G169" t="s">
        <v>84</v>
      </c>
      <c r="H169" t="s">
        <v>145</v>
      </c>
      <c r="I169" t="s">
        <v>113</v>
      </c>
      <c r="J169" t="s">
        <v>127</v>
      </c>
      <c r="K169" t="s">
        <v>179</v>
      </c>
      <c r="L169" t="s">
        <v>115</v>
      </c>
      <c r="M169" t="s">
        <v>387</v>
      </c>
      <c r="N169" t="s">
        <v>99</v>
      </c>
      <c r="O169" t="str">
        <f t="shared" si="2"/>
        <v>Miami Dolphins</v>
      </c>
    </row>
    <row r="170" spans="1:16" x14ac:dyDescent="0.25">
      <c r="A170" t="s">
        <v>129</v>
      </c>
      <c r="B170" t="s">
        <v>148</v>
      </c>
      <c r="C170" t="s">
        <v>268</v>
      </c>
      <c r="D170" t="s">
        <v>149</v>
      </c>
      <c r="E170" t="s">
        <v>63</v>
      </c>
      <c r="F170" t="s">
        <v>100</v>
      </c>
      <c r="G170" t="s">
        <v>72</v>
      </c>
      <c r="H170" t="s">
        <v>145</v>
      </c>
      <c r="I170" t="s">
        <v>121</v>
      </c>
      <c r="J170" t="s">
        <v>114</v>
      </c>
      <c r="K170" t="s">
        <v>468</v>
      </c>
      <c r="L170" t="s">
        <v>99</v>
      </c>
      <c r="M170" t="s">
        <v>469</v>
      </c>
      <c r="N170" t="s">
        <v>99</v>
      </c>
      <c r="O170" t="str">
        <f t="shared" si="2"/>
        <v>Minnesota Vikings</v>
      </c>
    </row>
    <row r="171" spans="1:16" x14ac:dyDescent="0.25">
      <c r="A171" t="s">
        <v>129</v>
      </c>
      <c r="B171" t="s">
        <v>148</v>
      </c>
      <c r="C171" t="s">
        <v>268</v>
      </c>
      <c r="D171" t="s">
        <v>149</v>
      </c>
      <c r="E171" t="s">
        <v>73</v>
      </c>
      <c r="F171" t="s">
        <v>177</v>
      </c>
      <c r="G171" t="s">
        <v>65</v>
      </c>
      <c r="H171" t="s">
        <v>145</v>
      </c>
      <c r="I171" t="s">
        <v>126</v>
      </c>
      <c r="J171" t="s">
        <v>109</v>
      </c>
      <c r="K171" t="s">
        <v>200</v>
      </c>
      <c r="L171" t="s">
        <v>99</v>
      </c>
      <c r="M171" t="s">
        <v>363</v>
      </c>
      <c r="N171" t="s">
        <v>105</v>
      </c>
      <c r="O171" t="str">
        <f t="shared" si="2"/>
        <v>Pittsburgh Steelers</v>
      </c>
    </row>
    <row r="172" spans="1:16" x14ac:dyDescent="0.25">
      <c r="A172" t="s">
        <v>129</v>
      </c>
      <c r="B172" t="s">
        <v>148</v>
      </c>
      <c r="C172" t="s">
        <v>268</v>
      </c>
      <c r="D172" t="s">
        <v>149</v>
      </c>
      <c r="E172" t="s">
        <v>66</v>
      </c>
      <c r="F172" t="s">
        <v>100</v>
      </c>
      <c r="G172" t="s">
        <v>88</v>
      </c>
      <c r="H172" t="s">
        <v>145</v>
      </c>
      <c r="I172" t="s">
        <v>118</v>
      </c>
      <c r="J172" t="s">
        <v>119</v>
      </c>
      <c r="K172" t="s">
        <v>470</v>
      </c>
      <c r="L172" t="s">
        <v>99</v>
      </c>
      <c r="M172" t="s">
        <v>372</v>
      </c>
      <c r="N172" t="s">
        <v>115</v>
      </c>
      <c r="O172" t="str">
        <f t="shared" si="2"/>
        <v>Indianapolis Colts</v>
      </c>
    </row>
    <row r="173" spans="1:16" x14ac:dyDescent="0.25">
      <c r="A173" t="s">
        <v>129</v>
      </c>
      <c r="B173" t="s">
        <v>148</v>
      </c>
      <c r="C173" t="s">
        <v>268</v>
      </c>
      <c r="D173" t="s">
        <v>149</v>
      </c>
      <c r="E173" t="s">
        <v>85</v>
      </c>
      <c r="F173" t="s">
        <v>100</v>
      </c>
      <c r="G173" t="s">
        <v>76</v>
      </c>
      <c r="H173" t="s">
        <v>145</v>
      </c>
      <c r="I173" t="s">
        <v>118</v>
      </c>
      <c r="J173" t="s">
        <v>116</v>
      </c>
      <c r="K173" t="s">
        <v>456</v>
      </c>
      <c r="L173" t="s">
        <v>115</v>
      </c>
      <c r="M173" t="s">
        <v>471</v>
      </c>
      <c r="N173" t="s">
        <v>117</v>
      </c>
      <c r="O173" t="str">
        <f t="shared" si="2"/>
        <v>Los Angeles Rams</v>
      </c>
    </row>
    <row r="174" spans="1:16" x14ac:dyDescent="0.25">
      <c r="A174" t="s">
        <v>129</v>
      </c>
      <c r="B174" t="s">
        <v>148</v>
      </c>
      <c r="C174" t="s">
        <v>268</v>
      </c>
      <c r="D174" t="s">
        <v>150</v>
      </c>
      <c r="E174" t="s">
        <v>81</v>
      </c>
      <c r="F174" t="s">
        <v>100</v>
      </c>
      <c r="G174" t="s">
        <v>90</v>
      </c>
      <c r="H174" t="s">
        <v>145</v>
      </c>
      <c r="I174" t="s">
        <v>102</v>
      </c>
      <c r="J174" t="s">
        <v>108</v>
      </c>
      <c r="K174" t="s">
        <v>385</v>
      </c>
      <c r="L174" t="s">
        <v>99</v>
      </c>
      <c r="M174" t="s">
        <v>333</v>
      </c>
      <c r="N174" t="s">
        <v>99</v>
      </c>
      <c r="O174" t="str">
        <f t="shared" si="2"/>
        <v>Seattle Seahawks</v>
      </c>
    </row>
    <row r="175" spans="1:16" x14ac:dyDescent="0.25">
      <c r="A175" t="s">
        <v>129</v>
      </c>
      <c r="B175" t="s">
        <v>148</v>
      </c>
      <c r="C175" t="s">
        <v>268</v>
      </c>
      <c r="D175" t="s">
        <v>150</v>
      </c>
      <c r="E175" t="s">
        <v>77</v>
      </c>
      <c r="F175" t="s">
        <v>177</v>
      </c>
      <c r="G175" t="s">
        <v>64</v>
      </c>
      <c r="H175" t="s">
        <v>145</v>
      </c>
      <c r="I175" t="s">
        <v>340</v>
      </c>
      <c r="J175" t="s">
        <v>125</v>
      </c>
      <c r="K175" t="s">
        <v>196</v>
      </c>
      <c r="L175" t="s">
        <v>115</v>
      </c>
      <c r="M175" t="s">
        <v>198</v>
      </c>
      <c r="N175" t="s">
        <v>99</v>
      </c>
      <c r="O175" t="str">
        <f t="shared" si="2"/>
        <v>Atlanta Falcons</v>
      </c>
    </row>
    <row r="176" spans="1:16" x14ac:dyDescent="0.25">
      <c r="A176" t="s">
        <v>129</v>
      </c>
      <c r="B176" t="s">
        <v>148</v>
      </c>
      <c r="C176" t="s">
        <v>268</v>
      </c>
      <c r="D176" t="s">
        <v>151</v>
      </c>
      <c r="E176" t="s">
        <v>67</v>
      </c>
      <c r="F176" t="s">
        <v>177</v>
      </c>
      <c r="G176" t="s">
        <v>61</v>
      </c>
      <c r="H176" t="s">
        <v>145</v>
      </c>
      <c r="I176" t="s">
        <v>320</v>
      </c>
      <c r="J176" t="s">
        <v>101</v>
      </c>
      <c r="K176" t="s">
        <v>345</v>
      </c>
      <c r="L176" t="s">
        <v>99</v>
      </c>
      <c r="M176" t="s">
        <v>420</v>
      </c>
      <c r="N176" t="s">
        <v>117</v>
      </c>
      <c r="O176" t="str">
        <f t="shared" si="2"/>
        <v>Buffalo Bills</v>
      </c>
    </row>
    <row r="177" spans="1:16" x14ac:dyDescent="0.25">
      <c r="A177" t="s">
        <v>129</v>
      </c>
      <c r="B177" t="s">
        <v>148</v>
      </c>
      <c r="C177" t="s">
        <v>268</v>
      </c>
      <c r="D177" t="s">
        <v>144</v>
      </c>
      <c r="E177" t="s">
        <v>79</v>
      </c>
      <c r="F177" t="s">
        <v>177</v>
      </c>
      <c r="G177" t="s">
        <v>70</v>
      </c>
      <c r="H177" t="s">
        <v>145</v>
      </c>
      <c r="I177" t="s">
        <v>113</v>
      </c>
      <c r="J177" t="s">
        <v>119</v>
      </c>
      <c r="K177" t="s">
        <v>354</v>
      </c>
      <c r="L177" t="s">
        <v>99</v>
      </c>
      <c r="M177" t="s">
        <v>180</v>
      </c>
      <c r="N177" t="s">
        <v>115</v>
      </c>
      <c r="O177" t="str">
        <f t="shared" si="2"/>
        <v>Los Angeles Chargers</v>
      </c>
    </row>
    <row r="178" spans="1:16" x14ac:dyDescent="0.25">
      <c r="A178" t="s">
        <v>129</v>
      </c>
      <c r="B178" t="s">
        <v>152</v>
      </c>
      <c r="C178" t="s">
        <v>269</v>
      </c>
      <c r="D178" t="s">
        <v>147</v>
      </c>
      <c r="E178" t="s">
        <v>68</v>
      </c>
      <c r="F178" t="s">
        <v>100</v>
      </c>
      <c r="G178" t="s">
        <v>75</v>
      </c>
      <c r="H178" t="s">
        <v>145</v>
      </c>
      <c r="I178" t="s">
        <v>113</v>
      </c>
      <c r="J178" t="s">
        <v>112</v>
      </c>
      <c r="K178" t="s">
        <v>409</v>
      </c>
      <c r="L178" t="s">
        <v>99</v>
      </c>
      <c r="M178" t="s">
        <v>338</v>
      </c>
      <c r="N178" t="s">
        <v>117</v>
      </c>
      <c r="O178" t="str">
        <f t="shared" si="2"/>
        <v>Houston Texans</v>
      </c>
      <c r="P178">
        <v>24</v>
      </c>
    </row>
    <row r="179" spans="1:16" x14ac:dyDescent="0.25">
      <c r="A179" t="s">
        <v>95</v>
      </c>
      <c r="B179" t="s">
        <v>137</v>
      </c>
      <c r="C179" t="s">
        <v>58</v>
      </c>
      <c r="D179" t="s">
        <v>138</v>
      </c>
      <c r="E179" t="s">
        <v>59</v>
      </c>
      <c r="F179" t="s">
        <v>177</v>
      </c>
      <c r="G179" t="s">
        <v>60</v>
      </c>
      <c r="H179" t="s">
        <v>177</v>
      </c>
      <c r="I179" t="s">
        <v>97</v>
      </c>
      <c r="J179" t="s">
        <v>98</v>
      </c>
      <c r="K179" t="s">
        <v>139</v>
      </c>
      <c r="L179" t="s">
        <v>140</v>
      </c>
      <c r="M179" t="s">
        <v>141</v>
      </c>
      <c r="N179" t="s">
        <v>142</v>
      </c>
      <c r="O179" t="str">
        <f t="shared" si="2"/>
        <v>Winner/tie</v>
      </c>
    </row>
    <row r="180" spans="1:16" x14ac:dyDescent="0.25">
      <c r="A180" t="s">
        <v>124</v>
      </c>
      <c r="B180" t="s">
        <v>143</v>
      </c>
      <c r="C180" t="s">
        <v>270</v>
      </c>
      <c r="D180" t="s">
        <v>147</v>
      </c>
      <c r="E180" t="s">
        <v>74</v>
      </c>
      <c r="F180" t="s">
        <v>177</v>
      </c>
      <c r="G180" t="s">
        <v>73</v>
      </c>
      <c r="H180" t="s">
        <v>145</v>
      </c>
      <c r="I180" t="s">
        <v>104</v>
      </c>
      <c r="J180" t="s">
        <v>127</v>
      </c>
      <c r="K180" t="s">
        <v>201</v>
      </c>
      <c r="L180" t="s">
        <v>105</v>
      </c>
      <c r="M180" t="s">
        <v>393</v>
      </c>
      <c r="N180" t="s">
        <v>99</v>
      </c>
      <c r="O180" t="str">
        <f t="shared" si="2"/>
        <v>Cleveland Browns</v>
      </c>
      <c r="P180">
        <v>25</v>
      </c>
    </row>
    <row r="181" spans="1:16" x14ac:dyDescent="0.25">
      <c r="A181" t="s">
        <v>124</v>
      </c>
      <c r="B181" t="s">
        <v>148</v>
      </c>
      <c r="C181" t="s">
        <v>271</v>
      </c>
      <c r="D181" t="s">
        <v>149</v>
      </c>
      <c r="E181" t="s">
        <v>61</v>
      </c>
      <c r="F181" t="s">
        <v>100</v>
      </c>
      <c r="G181" t="s">
        <v>69</v>
      </c>
      <c r="H181" t="s">
        <v>145</v>
      </c>
      <c r="I181" t="s">
        <v>320</v>
      </c>
      <c r="J181" t="s">
        <v>119</v>
      </c>
      <c r="K181" t="s">
        <v>409</v>
      </c>
      <c r="L181" t="s">
        <v>115</v>
      </c>
      <c r="M181" t="s">
        <v>438</v>
      </c>
      <c r="N181" t="s">
        <v>115</v>
      </c>
      <c r="O181" t="str">
        <f t="shared" si="2"/>
        <v>Kansas City Chiefs</v>
      </c>
    </row>
    <row r="182" spans="1:16" x14ac:dyDescent="0.25">
      <c r="A182" t="s">
        <v>124</v>
      </c>
      <c r="B182" t="s">
        <v>148</v>
      </c>
      <c r="C182" t="s">
        <v>271</v>
      </c>
      <c r="D182" t="s">
        <v>149</v>
      </c>
      <c r="E182" t="s">
        <v>63</v>
      </c>
      <c r="F182" t="s">
        <v>100</v>
      </c>
      <c r="G182" t="s">
        <v>71</v>
      </c>
      <c r="H182" t="s">
        <v>145</v>
      </c>
      <c r="I182" t="s">
        <v>320</v>
      </c>
      <c r="J182" t="s">
        <v>119</v>
      </c>
      <c r="K182" t="s">
        <v>180</v>
      </c>
      <c r="L182" t="s">
        <v>99</v>
      </c>
      <c r="M182" t="s">
        <v>472</v>
      </c>
      <c r="N182" t="s">
        <v>99</v>
      </c>
      <c r="O182" t="str">
        <f t="shared" si="2"/>
        <v>Minnesota Vikings</v>
      </c>
    </row>
    <row r="183" spans="1:16" x14ac:dyDescent="0.25">
      <c r="A183" t="s">
        <v>124</v>
      </c>
      <c r="B183" t="s">
        <v>148</v>
      </c>
      <c r="C183" t="s">
        <v>271</v>
      </c>
      <c r="D183" t="s">
        <v>149</v>
      </c>
      <c r="E183" t="s">
        <v>75</v>
      </c>
      <c r="F183" t="s">
        <v>100</v>
      </c>
      <c r="G183" t="s">
        <v>92</v>
      </c>
      <c r="H183" t="s">
        <v>145</v>
      </c>
      <c r="I183" t="s">
        <v>113</v>
      </c>
      <c r="J183" t="s">
        <v>123</v>
      </c>
      <c r="K183" t="s">
        <v>470</v>
      </c>
      <c r="L183" t="s">
        <v>99</v>
      </c>
      <c r="M183" t="s">
        <v>335</v>
      </c>
      <c r="N183" t="s">
        <v>105</v>
      </c>
      <c r="O183" t="str">
        <f t="shared" si="2"/>
        <v>Dallas Cowboys</v>
      </c>
    </row>
    <row r="184" spans="1:16" x14ac:dyDescent="0.25">
      <c r="A184" t="s">
        <v>124</v>
      </c>
      <c r="B184" t="s">
        <v>148</v>
      </c>
      <c r="C184" t="s">
        <v>271</v>
      </c>
      <c r="D184" t="s">
        <v>149</v>
      </c>
      <c r="E184" t="s">
        <v>86</v>
      </c>
      <c r="F184" t="s">
        <v>177</v>
      </c>
      <c r="G184" t="s">
        <v>76</v>
      </c>
      <c r="H184" t="s">
        <v>145</v>
      </c>
      <c r="I184" t="s">
        <v>113</v>
      </c>
      <c r="J184" t="s">
        <v>110</v>
      </c>
      <c r="K184" t="s">
        <v>332</v>
      </c>
      <c r="L184" t="s">
        <v>99</v>
      </c>
      <c r="M184" t="s">
        <v>392</v>
      </c>
      <c r="N184" t="s">
        <v>117</v>
      </c>
      <c r="O184" t="str">
        <f t="shared" si="2"/>
        <v>Miami Dolphins</v>
      </c>
    </row>
    <row r="185" spans="1:16" x14ac:dyDescent="0.25">
      <c r="A185" t="s">
        <v>124</v>
      </c>
      <c r="B185" t="s">
        <v>148</v>
      </c>
      <c r="C185" t="s">
        <v>271</v>
      </c>
      <c r="D185" t="s">
        <v>149</v>
      </c>
      <c r="E185" t="s">
        <v>91</v>
      </c>
      <c r="F185" t="s">
        <v>100</v>
      </c>
      <c r="G185" t="s">
        <v>82</v>
      </c>
      <c r="H185" t="s">
        <v>145</v>
      </c>
      <c r="I185" t="s">
        <v>320</v>
      </c>
      <c r="J185" t="s">
        <v>111</v>
      </c>
      <c r="K185" t="s">
        <v>473</v>
      </c>
      <c r="L185" t="s">
        <v>99</v>
      </c>
      <c r="M185" t="s">
        <v>236</v>
      </c>
      <c r="N185" t="s">
        <v>99</v>
      </c>
      <c r="O185" t="str">
        <f t="shared" si="2"/>
        <v>New York Giants</v>
      </c>
    </row>
    <row r="186" spans="1:16" x14ac:dyDescent="0.25">
      <c r="A186" t="s">
        <v>124</v>
      </c>
      <c r="B186" t="s">
        <v>148</v>
      </c>
      <c r="C186" t="s">
        <v>271</v>
      </c>
      <c r="D186" t="s">
        <v>149</v>
      </c>
      <c r="E186" t="s">
        <v>78</v>
      </c>
      <c r="F186" t="s">
        <v>100</v>
      </c>
      <c r="G186" t="s">
        <v>66</v>
      </c>
      <c r="H186" t="s">
        <v>145</v>
      </c>
      <c r="I186" t="s">
        <v>104</v>
      </c>
      <c r="J186" t="s">
        <v>125</v>
      </c>
      <c r="K186" t="s">
        <v>435</v>
      </c>
      <c r="L186" t="s">
        <v>115</v>
      </c>
      <c r="M186" t="s">
        <v>361</v>
      </c>
      <c r="N186" t="s">
        <v>115</v>
      </c>
      <c r="O186" t="str">
        <f t="shared" si="2"/>
        <v>Indianapolis Colts</v>
      </c>
    </row>
    <row r="187" spans="1:16" x14ac:dyDescent="0.25">
      <c r="A187" t="s">
        <v>124</v>
      </c>
      <c r="B187" t="s">
        <v>148</v>
      </c>
      <c r="C187" t="s">
        <v>271</v>
      </c>
      <c r="D187" t="s">
        <v>149</v>
      </c>
      <c r="E187" t="s">
        <v>72</v>
      </c>
      <c r="F187" t="s">
        <v>100</v>
      </c>
      <c r="G187" t="s">
        <v>68</v>
      </c>
      <c r="H187" t="s">
        <v>145</v>
      </c>
      <c r="I187" t="s">
        <v>212</v>
      </c>
      <c r="J187" t="s">
        <v>119</v>
      </c>
      <c r="K187" t="s">
        <v>411</v>
      </c>
      <c r="L187" t="s">
        <v>105</v>
      </c>
      <c r="M187" t="s">
        <v>227</v>
      </c>
      <c r="N187" t="s">
        <v>117</v>
      </c>
      <c r="O187" t="str">
        <f t="shared" si="2"/>
        <v>Tennessee Titans</v>
      </c>
    </row>
    <row r="188" spans="1:16" x14ac:dyDescent="0.25">
      <c r="A188" t="s">
        <v>124</v>
      </c>
      <c r="B188" t="s">
        <v>148</v>
      </c>
      <c r="C188" t="s">
        <v>271</v>
      </c>
      <c r="D188" t="s">
        <v>150</v>
      </c>
      <c r="E188" t="s">
        <v>77</v>
      </c>
      <c r="F188" t="s">
        <v>100</v>
      </c>
      <c r="G188" t="s">
        <v>84</v>
      </c>
      <c r="H188" t="s">
        <v>145</v>
      </c>
      <c r="I188" t="s">
        <v>131</v>
      </c>
      <c r="J188" t="s">
        <v>127</v>
      </c>
      <c r="K188" t="s">
        <v>442</v>
      </c>
      <c r="L188" t="s">
        <v>115</v>
      </c>
      <c r="M188" t="s">
        <v>411</v>
      </c>
      <c r="N188" t="s">
        <v>117</v>
      </c>
      <c r="O188" t="str">
        <f t="shared" si="2"/>
        <v>Denver Broncos</v>
      </c>
    </row>
    <row r="189" spans="1:16" x14ac:dyDescent="0.25">
      <c r="A189" t="s">
        <v>124</v>
      </c>
      <c r="B189" t="s">
        <v>148</v>
      </c>
      <c r="C189" t="s">
        <v>271</v>
      </c>
      <c r="D189" t="s">
        <v>151</v>
      </c>
      <c r="E189" t="s">
        <v>81</v>
      </c>
      <c r="F189" t="s">
        <v>177</v>
      </c>
      <c r="G189" t="s">
        <v>62</v>
      </c>
      <c r="H189" t="s">
        <v>145</v>
      </c>
      <c r="I189" t="s">
        <v>109</v>
      </c>
      <c r="J189" t="s">
        <v>125</v>
      </c>
      <c r="K189" t="s">
        <v>474</v>
      </c>
      <c r="L189" t="s">
        <v>99</v>
      </c>
      <c r="M189" t="s">
        <v>475</v>
      </c>
      <c r="N189" t="s">
        <v>99</v>
      </c>
      <c r="O189" t="str">
        <f t="shared" si="2"/>
        <v>Arizona Cardinals</v>
      </c>
    </row>
    <row r="190" spans="1:16" x14ac:dyDescent="0.25">
      <c r="A190" t="s">
        <v>124</v>
      </c>
      <c r="B190" t="s">
        <v>148</v>
      </c>
      <c r="C190" t="s">
        <v>271</v>
      </c>
      <c r="D190" t="s">
        <v>151</v>
      </c>
      <c r="E190" t="s">
        <v>80</v>
      </c>
      <c r="F190" t="s">
        <v>177</v>
      </c>
      <c r="G190" t="s">
        <v>90</v>
      </c>
      <c r="H190" t="s">
        <v>145</v>
      </c>
      <c r="I190" t="s">
        <v>340</v>
      </c>
      <c r="J190" t="s">
        <v>112</v>
      </c>
      <c r="K190" t="s">
        <v>442</v>
      </c>
      <c r="L190" t="s">
        <v>115</v>
      </c>
      <c r="M190" t="s">
        <v>362</v>
      </c>
      <c r="N190" t="s">
        <v>105</v>
      </c>
      <c r="O190" t="str">
        <f t="shared" si="2"/>
        <v>Green Bay Packers</v>
      </c>
    </row>
    <row r="191" spans="1:16" x14ac:dyDescent="0.25">
      <c r="A191" t="s">
        <v>124</v>
      </c>
      <c r="B191" t="s">
        <v>148</v>
      </c>
      <c r="C191" t="s">
        <v>271</v>
      </c>
      <c r="D191" t="s">
        <v>144</v>
      </c>
      <c r="E191" t="s">
        <v>89</v>
      </c>
      <c r="F191" t="s">
        <v>100</v>
      </c>
      <c r="G191" t="s">
        <v>85</v>
      </c>
      <c r="H191" t="s">
        <v>145</v>
      </c>
      <c r="I191" t="s">
        <v>120</v>
      </c>
      <c r="J191" t="s">
        <v>102</v>
      </c>
      <c r="K191" t="s">
        <v>424</v>
      </c>
      <c r="L191" t="s">
        <v>115</v>
      </c>
      <c r="M191" t="s">
        <v>194</v>
      </c>
      <c r="N191" t="s">
        <v>99</v>
      </c>
      <c r="O191" t="str">
        <f t="shared" si="2"/>
        <v>Philadelphia Eagles</v>
      </c>
    </row>
    <row r="192" spans="1:16" x14ac:dyDescent="0.25">
      <c r="A192" t="s">
        <v>124</v>
      </c>
      <c r="B192" t="s">
        <v>152</v>
      </c>
      <c r="C192" t="s">
        <v>272</v>
      </c>
      <c r="D192" t="s">
        <v>147</v>
      </c>
      <c r="E192" t="s">
        <v>65</v>
      </c>
      <c r="F192" t="s">
        <v>100</v>
      </c>
      <c r="G192" t="s">
        <v>79</v>
      </c>
      <c r="H192" t="s">
        <v>145</v>
      </c>
      <c r="I192" t="s">
        <v>320</v>
      </c>
      <c r="J192" t="s">
        <v>121</v>
      </c>
      <c r="K192" t="s">
        <v>368</v>
      </c>
      <c r="L192" t="s">
        <v>115</v>
      </c>
      <c r="M192" t="s">
        <v>474</v>
      </c>
      <c r="N192" t="s">
        <v>115</v>
      </c>
      <c r="O192" t="str">
        <f t="shared" si="2"/>
        <v>Baltimore Ravens</v>
      </c>
      <c r="P192">
        <v>26</v>
      </c>
    </row>
    <row r="193" spans="1:16" x14ac:dyDescent="0.25">
      <c r="A193" t="s">
        <v>95</v>
      </c>
      <c r="B193" t="s">
        <v>137</v>
      </c>
      <c r="C193" t="s">
        <v>58</v>
      </c>
      <c r="D193" t="s">
        <v>138</v>
      </c>
      <c r="E193" t="s">
        <v>59</v>
      </c>
      <c r="F193" t="s">
        <v>177</v>
      </c>
      <c r="G193" t="s">
        <v>60</v>
      </c>
      <c r="H193" t="s">
        <v>177</v>
      </c>
      <c r="I193" t="s">
        <v>97</v>
      </c>
      <c r="J193" t="s">
        <v>98</v>
      </c>
      <c r="K193" t="s">
        <v>139</v>
      </c>
      <c r="L193" t="s">
        <v>140</v>
      </c>
      <c r="M193" t="s">
        <v>141</v>
      </c>
      <c r="N193" t="s">
        <v>142</v>
      </c>
      <c r="O193" t="str">
        <f t="shared" si="2"/>
        <v>Winner/tie</v>
      </c>
    </row>
    <row r="194" spans="1:16" x14ac:dyDescent="0.25">
      <c r="A194" t="s">
        <v>114</v>
      </c>
      <c r="B194" t="s">
        <v>143</v>
      </c>
      <c r="C194" t="s">
        <v>273</v>
      </c>
      <c r="D194" t="s">
        <v>157</v>
      </c>
      <c r="E194" t="s">
        <v>78</v>
      </c>
      <c r="F194" t="s">
        <v>177</v>
      </c>
      <c r="G194" t="s">
        <v>71</v>
      </c>
      <c r="H194" t="s">
        <v>145</v>
      </c>
      <c r="I194" t="s">
        <v>121</v>
      </c>
      <c r="J194" t="s">
        <v>102</v>
      </c>
      <c r="K194" t="s">
        <v>476</v>
      </c>
      <c r="L194" t="s">
        <v>99</v>
      </c>
      <c r="M194" t="s">
        <v>477</v>
      </c>
      <c r="N194" t="s">
        <v>115</v>
      </c>
      <c r="O194" t="str">
        <f t="shared" ref="O194:O257" si="3">IF(I194&gt;J194, E194, IF(I194&lt;J194, G194, "Tie"))</f>
        <v>Detroit Lions</v>
      </c>
      <c r="P194">
        <v>27</v>
      </c>
    </row>
    <row r="195" spans="1:16" x14ac:dyDescent="0.25">
      <c r="A195" t="s">
        <v>114</v>
      </c>
      <c r="B195" t="s">
        <v>143</v>
      </c>
      <c r="C195" t="s">
        <v>273</v>
      </c>
      <c r="D195" t="s">
        <v>158</v>
      </c>
      <c r="E195" t="s">
        <v>75</v>
      </c>
      <c r="F195" t="s">
        <v>177</v>
      </c>
      <c r="G195" t="s">
        <v>82</v>
      </c>
      <c r="H195" t="s">
        <v>145</v>
      </c>
      <c r="I195" t="s">
        <v>119</v>
      </c>
      <c r="J195" t="s">
        <v>102</v>
      </c>
      <c r="K195" t="s">
        <v>421</v>
      </c>
      <c r="L195" t="s">
        <v>115</v>
      </c>
      <c r="M195" t="s">
        <v>216</v>
      </c>
      <c r="N195" t="s">
        <v>117</v>
      </c>
      <c r="O195" t="str">
        <f t="shared" si="3"/>
        <v>Dallas Cowboys</v>
      </c>
      <c r="P195">
        <v>28</v>
      </c>
    </row>
    <row r="196" spans="1:16" x14ac:dyDescent="0.25">
      <c r="A196" t="s">
        <v>114</v>
      </c>
      <c r="B196" t="s">
        <v>143</v>
      </c>
      <c r="C196" t="s">
        <v>273</v>
      </c>
      <c r="D196" t="s">
        <v>144</v>
      </c>
      <c r="E196" t="s">
        <v>80</v>
      </c>
      <c r="F196" t="s">
        <v>177</v>
      </c>
      <c r="G196" t="s">
        <v>86</v>
      </c>
      <c r="H196" t="s">
        <v>145</v>
      </c>
      <c r="I196" t="s">
        <v>320</v>
      </c>
      <c r="J196" t="s">
        <v>108</v>
      </c>
      <c r="K196" t="s">
        <v>338</v>
      </c>
      <c r="L196" t="s">
        <v>115</v>
      </c>
      <c r="M196" t="s">
        <v>346</v>
      </c>
      <c r="N196" t="s">
        <v>99</v>
      </c>
      <c r="O196" t="str">
        <f t="shared" si="3"/>
        <v>Green Bay Packers</v>
      </c>
      <c r="P196">
        <v>29</v>
      </c>
    </row>
    <row r="197" spans="1:16" x14ac:dyDescent="0.25">
      <c r="A197" t="s">
        <v>114</v>
      </c>
      <c r="B197" t="s">
        <v>146</v>
      </c>
      <c r="C197" t="s">
        <v>274</v>
      </c>
      <c r="D197" t="s">
        <v>159</v>
      </c>
      <c r="E197" t="s">
        <v>61</v>
      </c>
      <c r="F197" t="s">
        <v>177</v>
      </c>
      <c r="G197" t="s">
        <v>84</v>
      </c>
      <c r="H197" t="s">
        <v>145</v>
      </c>
      <c r="I197" t="s">
        <v>127</v>
      </c>
      <c r="J197" t="s">
        <v>108</v>
      </c>
      <c r="K197" t="s">
        <v>363</v>
      </c>
      <c r="L197" t="s">
        <v>115</v>
      </c>
      <c r="M197" t="s">
        <v>379</v>
      </c>
      <c r="N197" t="s">
        <v>99</v>
      </c>
      <c r="O197" t="str">
        <f t="shared" si="3"/>
        <v>Kansas City Chiefs</v>
      </c>
      <c r="P197">
        <v>30</v>
      </c>
    </row>
    <row r="198" spans="1:16" x14ac:dyDescent="0.25">
      <c r="A198" t="s">
        <v>114</v>
      </c>
      <c r="B198" t="s">
        <v>148</v>
      </c>
      <c r="C198" t="s">
        <v>275</v>
      </c>
      <c r="D198" t="s">
        <v>149</v>
      </c>
      <c r="E198" t="s">
        <v>79</v>
      </c>
      <c r="F198" t="s">
        <v>100</v>
      </c>
      <c r="G198" t="s">
        <v>64</v>
      </c>
      <c r="H198" t="s">
        <v>145</v>
      </c>
      <c r="I198" t="s">
        <v>108</v>
      </c>
      <c r="J198" t="s">
        <v>114</v>
      </c>
      <c r="K198" t="s">
        <v>478</v>
      </c>
      <c r="L198" t="s">
        <v>99</v>
      </c>
      <c r="M198" t="s">
        <v>399</v>
      </c>
      <c r="N198" t="s">
        <v>130</v>
      </c>
      <c r="O198" t="str">
        <f t="shared" si="3"/>
        <v>Los Angeles Chargers</v>
      </c>
    </row>
    <row r="199" spans="1:16" x14ac:dyDescent="0.25">
      <c r="A199" t="s">
        <v>114</v>
      </c>
      <c r="B199" t="s">
        <v>148</v>
      </c>
      <c r="C199" t="s">
        <v>275</v>
      </c>
      <c r="D199" t="s">
        <v>149</v>
      </c>
      <c r="E199" t="s">
        <v>73</v>
      </c>
      <c r="F199" t="s">
        <v>100</v>
      </c>
      <c r="G199" t="s">
        <v>70</v>
      </c>
      <c r="H199" t="s">
        <v>145</v>
      </c>
      <c r="I199" t="s">
        <v>221</v>
      </c>
      <c r="J199" t="s">
        <v>340</v>
      </c>
      <c r="K199" t="s">
        <v>377</v>
      </c>
      <c r="L199" t="s">
        <v>99</v>
      </c>
      <c r="M199" t="s">
        <v>346</v>
      </c>
      <c r="N199" t="s">
        <v>105</v>
      </c>
      <c r="O199" t="str">
        <f t="shared" si="3"/>
        <v>Pittsburgh Steelers</v>
      </c>
    </row>
    <row r="200" spans="1:16" x14ac:dyDescent="0.25">
      <c r="A200" t="s">
        <v>114</v>
      </c>
      <c r="B200" t="s">
        <v>148</v>
      </c>
      <c r="C200" t="s">
        <v>275</v>
      </c>
      <c r="D200" t="s">
        <v>149</v>
      </c>
      <c r="E200" t="s">
        <v>63</v>
      </c>
      <c r="F200" t="s">
        <v>177</v>
      </c>
      <c r="G200" t="s">
        <v>62</v>
      </c>
      <c r="H200" t="s">
        <v>145</v>
      </c>
      <c r="I200" t="s">
        <v>121</v>
      </c>
      <c r="J200" t="s">
        <v>116</v>
      </c>
      <c r="K200" t="s">
        <v>479</v>
      </c>
      <c r="L200" t="s">
        <v>99</v>
      </c>
      <c r="M200" t="s">
        <v>460</v>
      </c>
      <c r="N200" t="s">
        <v>117</v>
      </c>
      <c r="O200" t="str">
        <f t="shared" si="3"/>
        <v>Minnesota Vikings</v>
      </c>
    </row>
    <row r="201" spans="1:16" x14ac:dyDescent="0.25">
      <c r="A201" t="s">
        <v>114</v>
      </c>
      <c r="B201" t="s">
        <v>148</v>
      </c>
      <c r="C201" t="s">
        <v>275</v>
      </c>
      <c r="D201" t="s">
        <v>149</v>
      </c>
      <c r="E201" t="s">
        <v>81</v>
      </c>
      <c r="F201" t="s">
        <v>100</v>
      </c>
      <c r="G201" t="s">
        <v>88</v>
      </c>
      <c r="H201" t="s">
        <v>145</v>
      </c>
      <c r="I201" t="s">
        <v>123</v>
      </c>
      <c r="J201" t="s">
        <v>101</v>
      </c>
      <c r="K201" t="s">
        <v>420</v>
      </c>
      <c r="L201" t="s">
        <v>117</v>
      </c>
      <c r="M201" t="s">
        <v>480</v>
      </c>
      <c r="N201" t="s">
        <v>117</v>
      </c>
      <c r="O201" t="str">
        <f t="shared" si="3"/>
        <v>Seattle Seahawks</v>
      </c>
    </row>
    <row r="202" spans="1:16" x14ac:dyDescent="0.25">
      <c r="A202" t="s">
        <v>114</v>
      </c>
      <c r="B202" t="s">
        <v>148</v>
      </c>
      <c r="C202" t="s">
        <v>275</v>
      </c>
      <c r="D202" t="s">
        <v>149</v>
      </c>
      <c r="E202" t="s">
        <v>92</v>
      </c>
      <c r="F202" t="s">
        <v>177</v>
      </c>
      <c r="G202" t="s">
        <v>72</v>
      </c>
      <c r="H202" t="s">
        <v>145</v>
      </c>
      <c r="I202" t="s">
        <v>358</v>
      </c>
      <c r="J202" t="s">
        <v>127</v>
      </c>
      <c r="K202" t="s">
        <v>226</v>
      </c>
      <c r="L202" t="s">
        <v>99</v>
      </c>
      <c r="M202" t="s">
        <v>236</v>
      </c>
      <c r="N202" t="s">
        <v>117</v>
      </c>
      <c r="O202" t="str">
        <f t="shared" si="3"/>
        <v>Washington Commanders</v>
      </c>
    </row>
    <row r="203" spans="1:16" x14ac:dyDescent="0.25">
      <c r="A203" t="s">
        <v>114</v>
      </c>
      <c r="B203" t="s">
        <v>148</v>
      </c>
      <c r="C203" t="s">
        <v>275</v>
      </c>
      <c r="D203" t="s">
        <v>149</v>
      </c>
      <c r="E203" t="s">
        <v>66</v>
      </c>
      <c r="F203" t="s">
        <v>100</v>
      </c>
      <c r="G203" t="s">
        <v>76</v>
      </c>
      <c r="H203" t="s">
        <v>145</v>
      </c>
      <c r="I203" t="s">
        <v>106</v>
      </c>
      <c r="J203" t="s">
        <v>104</v>
      </c>
      <c r="K203" t="s">
        <v>372</v>
      </c>
      <c r="L203" t="s">
        <v>117</v>
      </c>
      <c r="M203" t="s">
        <v>434</v>
      </c>
      <c r="N203" t="s">
        <v>99</v>
      </c>
      <c r="O203" t="str">
        <f t="shared" si="3"/>
        <v>Indianapolis Colts</v>
      </c>
    </row>
    <row r="204" spans="1:16" x14ac:dyDescent="0.25">
      <c r="A204" t="s">
        <v>114</v>
      </c>
      <c r="B204" t="s">
        <v>148</v>
      </c>
      <c r="C204" t="s">
        <v>275</v>
      </c>
      <c r="D204" t="s">
        <v>149</v>
      </c>
      <c r="E204" t="s">
        <v>68</v>
      </c>
      <c r="F204" t="s">
        <v>100</v>
      </c>
      <c r="G204" t="s">
        <v>83</v>
      </c>
      <c r="H204" t="s">
        <v>145</v>
      </c>
      <c r="I204" t="s">
        <v>121</v>
      </c>
      <c r="J204" t="s">
        <v>102</v>
      </c>
      <c r="K204" t="s">
        <v>425</v>
      </c>
      <c r="L204" t="s">
        <v>115</v>
      </c>
      <c r="M204" t="s">
        <v>332</v>
      </c>
      <c r="N204" t="s">
        <v>99</v>
      </c>
      <c r="O204" t="str">
        <f t="shared" si="3"/>
        <v>Houston Texans</v>
      </c>
    </row>
    <row r="205" spans="1:16" x14ac:dyDescent="0.25">
      <c r="A205" t="s">
        <v>114</v>
      </c>
      <c r="B205" t="s">
        <v>148</v>
      </c>
      <c r="C205" t="s">
        <v>275</v>
      </c>
      <c r="D205" t="s">
        <v>150</v>
      </c>
      <c r="E205" t="s">
        <v>91</v>
      </c>
      <c r="F205" t="s">
        <v>100</v>
      </c>
      <c r="G205" t="s">
        <v>69</v>
      </c>
      <c r="H205" t="s">
        <v>145</v>
      </c>
      <c r="I205" t="s">
        <v>123</v>
      </c>
      <c r="J205" t="s">
        <v>121</v>
      </c>
      <c r="K205" t="s">
        <v>356</v>
      </c>
      <c r="L205" t="s">
        <v>117</v>
      </c>
      <c r="M205" t="s">
        <v>481</v>
      </c>
      <c r="N205" t="s">
        <v>99</v>
      </c>
      <c r="O205" t="str">
        <f t="shared" si="3"/>
        <v>Tampa Bay Buccaneers</v>
      </c>
    </row>
    <row r="206" spans="1:16" x14ac:dyDescent="0.25">
      <c r="A206" t="s">
        <v>114</v>
      </c>
      <c r="B206" t="s">
        <v>148</v>
      </c>
      <c r="C206" t="s">
        <v>275</v>
      </c>
      <c r="D206" t="s">
        <v>150</v>
      </c>
      <c r="E206" t="s">
        <v>85</v>
      </c>
      <c r="F206" t="s">
        <v>100</v>
      </c>
      <c r="G206" t="s">
        <v>87</v>
      </c>
      <c r="H206" t="s">
        <v>145</v>
      </c>
      <c r="I206" t="s">
        <v>101</v>
      </c>
      <c r="J206" t="s">
        <v>133</v>
      </c>
      <c r="K206" t="s">
        <v>348</v>
      </c>
      <c r="L206" t="s">
        <v>115</v>
      </c>
      <c r="M206" t="s">
        <v>463</v>
      </c>
      <c r="N206" t="s">
        <v>115</v>
      </c>
      <c r="O206" t="str">
        <f t="shared" si="3"/>
        <v>Los Angeles Rams</v>
      </c>
    </row>
    <row r="207" spans="1:16" x14ac:dyDescent="0.25">
      <c r="A207" t="s">
        <v>114</v>
      </c>
      <c r="B207" t="s">
        <v>148</v>
      </c>
      <c r="C207" t="s">
        <v>275</v>
      </c>
      <c r="D207" t="s">
        <v>151</v>
      </c>
      <c r="E207" t="s">
        <v>89</v>
      </c>
      <c r="F207" t="s">
        <v>100</v>
      </c>
      <c r="G207" t="s">
        <v>65</v>
      </c>
      <c r="H207" t="s">
        <v>145</v>
      </c>
      <c r="I207" t="s">
        <v>104</v>
      </c>
      <c r="J207" t="s">
        <v>127</v>
      </c>
      <c r="K207" t="s">
        <v>482</v>
      </c>
      <c r="L207" t="s">
        <v>115</v>
      </c>
      <c r="M207" t="s">
        <v>383</v>
      </c>
      <c r="N207" t="s">
        <v>115</v>
      </c>
      <c r="O207" t="str">
        <f t="shared" si="3"/>
        <v>Philadelphia Eagles</v>
      </c>
    </row>
    <row r="208" spans="1:16" x14ac:dyDescent="0.25">
      <c r="A208" t="s">
        <v>114</v>
      </c>
      <c r="B208" t="s">
        <v>148</v>
      </c>
      <c r="C208" t="s">
        <v>275</v>
      </c>
      <c r="D208" t="s">
        <v>144</v>
      </c>
      <c r="E208" t="s">
        <v>67</v>
      </c>
      <c r="F208" t="s">
        <v>177</v>
      </c>
      <c r="G208" t="s">
        <v>90</v>
      </c>
      <c r="H208" t="s">
        <v>145</v>
      </c>
      <c r="I208" t="s">
        <v>364</v>
      </c>
      <c r="J208" t="s">
        <v>112</v>
      </c>
      <c r="K208" t="s">
        <v>383</v>
      </c>
      <c r="L208" t="s">
        <v>115</v>
      </c>
      <c r="M208" t="s">
        <v>339</v>
      </c>
      <c r="N208" t="s">
        <v>105</v>
      </c>
      <c r="O208" t="str">
        <f t="shared" si="3"/>
        <v>Buffalo Bills</v>
      </c>
    </row>
    <row r="209" spans="1:16" x14ac:dyDescent="0.25">
      <c r="A209" t="s">
        <v>114</v>
      </c>
      <c r="B209" t="s">
        <v>152</v>
      </c>
      <c r="C209" t="s">
        <v>276</v>
      </c>
      <c r="D209" t="s">
        <v>147</v>
      </c>
      <c r="E209" t="s">
        <v>77</v>
      </c>
      <c r="F209" t="s">
        <v>177</v>
      </c>
      <c r="G209" t="s">
        <v>74</v>
      </c>
      <c r="H209" t="s">
        <v>145</v>
      </c>
      <c r="I209" t="s">
        <v>128</v>
      </c>
      <c r="J209" t="s">
        <v>212</v>
      </c>
      <c r="K209" t="s">
        <v>196</v>
      </c>
      <c r="L209" t="s">
        <v>117</v>
      </c>
      <c r="M209" t="s">
        <v>483</v>
      </c>
      <c r="N209" t="s">
        <v>105</v>
      </c>
      <c r="O209" t="str">
        <f t="shared" si="3"/>
        <v>Denver Broncos</v>
      </c>
      <c r="P209">
        <v>31</v>
      </c>
    </row>
    <row r="210" spans="1:16" x14ac:dyDescent="0.25">
      <c r="A210" t="s">
        <v>95</v>
      </c>
      <c r="B210" t="s">
        <v>137</v>
      </c>
      <c r="C210" t="s">
        <v>58</v>
      </c>
      <c r="D210" t="s">
        <v>138</v>
      </c>
      <c r="E210" t="s">
        <v>59</v>
      </c>
      <c r="F210" t="s">
        <v>177</v>
      </c>
      <c r="G210" t="s">
        <v>60</v>
      </c>
      <c r="H210" t="s">
        <v>177</v>
      </c>
      <c r="I210" t="s">
        <v>97</v>
      </c>
      <c r="J210" t="s">
        <v>98</v>
      </c>
      <c r="K210" t="s">
        <v>139</v>
      </c>
      <c r="L210" t="s">
        <v>140</v>
      </c>
      <c r="M210" t="s">
        <v>141</v>
      </c>
      <c r="N210" t="s">
        <v>142</v>
      </c>
      <c r="O210" t="str">
        <f t="shared" si="3"/>
        <v>Winner/tie</v>
      </c>
    </row>
    <row r="211" spans="1:16" x14ac:dyDescent="0.25">
      <c r="A211" t="s">
        <v>133</v>
      </c>
      <c r="B211" t="s">
        <v>143</v>
      </c>
      <c r="C211" t="s">
        <v>277</v>
      </c>
      <c r="D211" t="s">
        <v>147</v>
      </c>
      <c r="E211" t="s">
        <v>78</v>
      </c>
      <c r="F211" t="s">
        <v>177</v>
      </c>
      <c r="G211" t="s">
        <v>80</v>
      </c>
      <c r="H211" t="s">
        <v>145</v>
      </c>
      <c r="I211" t="s">
        <v>113</v>
      </c>
      <c r="J211" t="s">
        <v>103</v>
      </c>
      <c r="K211" t="s">
        <v>409</v>
      </c>
      <c r="L211" t="s">
        <v>99</v>
      </c>
      <c r="M211" t="s">
        <v>475</v>
      </c>
      <c r="N211" t="s">
        <v>99</v>
      </c>
      <c r="O211" t="str">
        <f t="shared" si="3"/>
        <v>Detroit Lions</v>
      </c>
      <c r="P211">
        <v>32</v>
      </c>
    </row>
    <row r="212" spans="1:16" x14ac:dyDescent="0.25">
      <c r="A212" t="s">
        <v>133</v>
      </c>
      <c r="B212" t="s">
        <v>148</v>
      </c>
      <c r="C212" t="s">
        <v>278</v>
      </c>
      <c r="D212" t="s">
        <v>149</v>
      </c>
      <c r="E212" t="s">
        <v>63</v>
      </c>
      <c r="F212" t="s">
        <v>177</v>
      </c>
      <c r="G212" t="s">
        <v>64</v>
      </c>
      <c r="H212" t="s">
        <v>145</v>
      </c>
      <c r="I212" t="s">
        <v>358</v>
      </c>
      <c r="J212" t="s">
        <v>101</v>
      </c>
      <c r="K212" t="s">
        <v>484</v>
      </c>
      <c r="L212" t="s">
        <v>115</v>
      </c>
      <c r="M212" t="s">
        <v>485</v>
      </c>
      <c r="N212" t="s">
        <v>105</v>
      </c>
      <c r="O212" t="str">
        <f t="shared" si="3"/>
        <v>Minnesota Vikings</v>
      </c>
    </row>
    <row r="213" spans="1:16" x14ac:dyDescent="0.25">
      <c r="A213" t="s">
        <v>133</v>
      </c>
      <c r="B213" t="s">
        <v>148</v>
      </c>
      <c r="C213" t="s">
        <v>278</v>
      </c>
      <c r="D213" t="s">
        <v>149</v>
      </c>
      <c r="E213" t="s">
        <v>89</v>
      </c>
      <c r="F213" t="s">
        <v>177</v>
      </c>
      <c r="G213" t="s">
        <v>69</v>
      </c>
      <c r="H213" t="s">
        <v>145</v>
      </c>
      <c r="I213" t="s">
        <v>116</v>
      </c>
      <c r="J213" t="s">
        <v>109</v>
      </c>
      <c r="K213" t="s">
        <v>376</v>
      </c>
      <c r="L213" t="s">
        <v>115</v>
      </c>
      <c r="M213" t="s">
        <v>486</v>
      </c>
      <c r="N213" t="s">
        <v>99</v>
      </c>
      <c r="O213" t="str">
        <f t="shared" si="3"/>
        <v>Philadelphia Eagles</v>
      </c>
    </row>
    <row r="214" spans="1:16" x14ac:dyDescent="0.25">
      <c r="A214" t="s">
        <v>133</v>
      </c>
      <c r="B214" t="s">
        <v>148</v>
      </c>
      <c r="C214" t="s">
        <v>278</v>
      </c>
      <c r="D214" t="s">
        <v>149</v>
      </c>
      <c r="E214" t="s">
        <v>73</v>
      </c>
      <c r="F214" t="s">
        <v>177</v>
      </c>
      <c r="G214" t="s">
        <v>74</v>
      </c>
      <c r="H214" t="s">
        <v>145</v>
      </c>
      <c r="I214" t="s">
        <v>119</v>
      </c>
      <c r="J214" t="s">
        <v>133</v>
      </c>
      <c r="K214" t="s">
        <v>197</v>
      </c>
      <c r="L214" t="s">
        <v>99</v>
      </c>
      <c r="M214" t="s">
        <v>234</v>
      </c>
      <c r="N214" t="s">
        <v>105</v>
      </c>
      <c r="O214" t="str">
        <f t="shared" si="3"/>
        <v>Pittsburgh Steelers</v>
      </c>
    </row>
    <row r="215" spans="1:16" x14ac:dyDescent="0.25">
      <c r="A215" t="s">
        <v>133</v>
      </c>
      <c r="B215" t="s">
        <v>148</v>
      </c>
      <c r="C215" t="s">
        <v>278</v>
      </c>
      <c r="D215" t="s">
        <v>149</v>
      </c>
      <c r="E215" t="s">
        <v>83</v>
      </c>
      <c r="F215" t="s">
        <v>100</v>
      </c>
      <c r="G215" t="s">
        <v>72</v>
      </c>
      <c r="H215" t="s">
        <v>145</v>
      </c>
      <c r="I215" t="s">
        <v>112</v>
      </c>
      <c r="J215" t="s">
        <v>125</v>
      </c>
      <c r="K215" t="s">
        <v>394</v>
      </c>
      <c r="L215" t="s">
        <v>117</v>
      </c>
      <c r="M215" t="s">
        <v>487</v>
      </c>
      <c r="N215" t="s">
        <v>115</v>
      </c>
      <c r="O215" t="str">
        <f t="shared" si="3"/>
        <v>Tennessee Titans</v>
      </c>
    </row>
    <row r="216" spans="1:16" x14ac:dyDescent="0.25">
      <c r="A216" t="s">
        <v>133</v>
      </c>
      <c r="B216" t="s">
        <v>148</v>
      </c>
      <c r="C216" t="s">
        <v>278</v>
      </c>
      <c r="D216" t="s">
        <v>149</v>
      </c>
      <c r="E216" t="s">
        <v>86</v>
      </c>
      <c r="F216" t="s">
        <v>177</v>
      </c>
      <c r="G216" t="s">
        <v>88</v>
      </c>
      <c r="H216" t="s">
        <v>145</v>
      </c>
      <c r="I216" t="s">
        <v>212</v>
      </c>
      <c r="J216" t="s">
        <v>123</v>
      </c>
      <c r="K216" t="s">
        <v>346</v>
      </c>
      <c r="L216" t="s">
        <v>115</v>
      </c>
      <c r="M216" t="s">
        <v>456</v>
      </c>
      <c r="N216" t="s">
        <v>115</v>
      </c>
      <c r="O216" t="str">
        <f t="shared" si="3"/>
        <v>Miami Dolphins</v>
      </c>
    </row>
    <row r="217" spans="1:16" x14ac:dyDescent="0.25">
      <c r="A217" t="s">
        <v>133</v>
      </c>
      <c r="B217" t="s">
        <v>148</v>
      </c>
      <c r="C217" t="s">
        <v>278</v>
      </c>
      <c r="D217" t="s">
        <v>149</v>
      </c>
      <c r="E217" t="s">
        <v>87</v>
      </c>
      <c r="F217" t="s">
        <v>100</v>
      </c>
      <c r="G217" t="s">
        <v>82</v>
      </c>
      <c r="H217" t="s">
        <v>145</v>
      </c>
      <c r="I217" t="s">
        <v>133</v>
      </c>
      <c r="J217" t="s">
        <v>129</v>
      </c>
      <c r="K217" t="s">
        <v>376</v>
      </c>
      <c r="L217" t="s">
        <v>99</v>
      </c>
      <c r="M217" t="s">
        <v>442</v>
      </c>
      <c r="N217" t="s">
        <v>99</v>
      </c>
      <c r="O217" t="str">
        <f t="shared" si="3"/>
        <v>New Orleans Saints</v>
      </c>
    </row>
    <row r="218" spans="1:16" x14ac:dyDescent="0.25">
      <c r="A218" t="s">
        <v>133</v>
      </c>
      <c r="B218" t="s">
        <v>148</v>
      </c>
      <c r="C218" t="s">
        <v>278</v>
      </c>
      <c r="D218" t="s">
        <v>149</v>
      </c>
      <c r="E218" t="s">
        <v>91</v>
      </c>
      <c r="F218" t="s">
        <v>177</v>
      </c>
      <c r="G218" t="s">
        <v>84</v>
      </c>
      <c r="H218" t="s">
        <v>145</v>
      </c>
      <c r="I218" t="s">
        <v>118</v>
      </c>
      <c r="J218" t="s">
        <v>114</v>
      </c>
      <c r="K218" t="s">
        <v>388</v>
      </c>
      <c r="L218" t="s">
        <v>105</v>
      </c>
      <c r="M218" t="s">
        <v>237</v>
      </c>
      <c r="N218" t="s">
        <v>117</v>
      </c>
      <c r="O218" t="str">
        <f t="shared" si="3"/>
        <v>Tampa Bay Buccaneers</v>
      </c>
    </row>
    <row r="219" spans="1:16" x14ac:dyDescent="0.25">
      <c r="A219" t="s">
        <v>133</v>
      </c>
      <c r="B219" t="s">
        <v>148</v>
      </c>
      <c r="C219" t="s">
        <v>278</v>
      </c>
      <c r="D219" t="s">
        <v>150</v>
      </c>
      <c r="E219" t="s">
        <v>81</v>
      </c>
      <c r="F219" t="s">
        <v>100</v>
      </c>
      <c r="G219" t="s">
        <v>62</v>
      </c>
      <c r="H219" t="s">
        <v>145</v>
      </c>
      <c r="I219" t="s">
        <v>320</v>
      </c>
      <c r="J219" t="s">
        <v>126</v>
      </c>
      <c r="K219" t="s">
        <v>422</v>
      </c>
      <c r="L219" t="s">
        <v>115</v>
      </c>
      <c r="M219" t="s">
        <v>341</v>
      </c>
      <c r="N219" t="s">
        <v>117</v>
      </c>
      <c r="O219" t="str">
        <f t="shared" si="3"/>
        <v>Seattle Seahawks</v>
      </c>
    </row>
    <row r="220" spans="1:16" x14ac:dyDescent="0.25">
      <c r="A220" t="s">
        <v>133</v>
      </c>
      <c r="B220" t="s">
        <v>148</v>
      </c>
      <c r="C220" t="s">
        <v>278</v>
      </c>
      <c r="D220" t="s">
        <v>151</v>
      </c>
      <c r="E220" t="s">
        <v>85</v>
      </c>
      <c r="F220" t="s">
        <v>177</v>
      </c>
      <c r="G220" t="s">
        <v>67</v>
      </c>
      <c r="H220" t="s">
        <v>145</v>
      </c>
      <c r="I220" t="s">
        <v>221</v>
      </c>
      <c r="J220" t="s">
        <v>358</v>
      </c>
      <c r="K220" t="s">
        <v>488</v>
      </c>
      <c r="L220" t="s">
        <v>115</v>
      </c>
      <c r="M220" t="s">
        <v>356</v>
      </c>
      <c r="N220" t="s">
        <v>115</v>
      </c>
      <c r="O220" t="str">
        <f t="shared" si="3"/>
        <v>Los Angeles Rams</v>
      </c>
    </row>
    <row r="221" spans="1:16" x14ac:dyDescent="0.25">
      <c r="A221" t="s">
        <v>133</v>
      </c>
      <c r="B221" t="s">
        <v>148</v>
      </c>
      <c r="C221" t="s">
        <v>278</v>
      </c>
      <c r="D221" t="s">
        <v>151</v>
      </c>
      <c r="E221" t="s">
        <v>90</v>
      </c>
      <c r="F221" t="s">
        <v>177</v>
      </c>
      <c r="G221" t="s">
        <v>71</v>
      </c>
      <c r="H221" t="s">
        <v>145</v>
      </c>
      <c r="I221" t="s">
        <v>340</v>
      </c>
      <c r="J221" t="s">
        <v>114</v>
      </c>
      <c r="K221" t="s">
        <v>180</v>
      </c>
      <c r="L221" t="s">
        <v>99</v>
      </c>
      <c r="M221" t="s">
        <v>489</v>
      </c>
      <c r="N221" t="s">
        <v>99</v>
      </c>
      <c r="O221" t="str">
        <f t="shared" si="3"/>
        <v>San Francisco 49ers</v>
      </c>
    </row>
    <row r="222" spans="1:16" x14ac:dyDescent="0.25">
      <c r="A222" t="s">
        <v>133</v>
      </c>
      <c r="B222" t="s">
        <v>148</v>
      </c>
      <c r="C222" t="s">
        <v>278</v>
      </c>
      <c r="D222" t="s">
        <v>144</v>
      </c>
      <c r="E222" t="s">
        <v>61</v>
      </c>
      <c r="F222" t="s">
        <v>177</v>
      </c>
      <c r="G222" t="s">
        <v>79</v>
      </c>
      <c r="H222" t="s">
        <v>145</v>
      </c>
      <c r="I222" t="s">
        <v>127</v>
      </c>
      <c r="J222" t="s">
        <v>108</v>
      </c>
      <c r="K222" t="s">
        <v>475</v>
      </c>
      <c r="L222" t="s">
        <v>115</v>
      </c>
      <c r="M222" t="s">
        <v>490</v>
      </c>
      <c r="N222" t="s">
        <v>115</v>
      </c>
      <c r="O222" t="str">
        <f t="shared" si="3"/>
        <v>Kansas City Chiefs</v>
      </c>
    </row>
    <row r="223" spans="1:16" x14ac:dyDescent="0.25">
      <c r="A223" t="s">
        <v>133</v>
      </c>
      <c r="B223" t="s">
        <v>152</v>
      </c>
      <c r="C223" t="s">
        <v>279</v>
      </c>
      <c r="D223" t="s">
        <v>147</v>
      </c>
      <c r="E223" t="s">
        <v>70</v>
      </c>
      <c r="F223" t="s">
        <v>100</v>
      </c>
      <c r="G223" t="s">
        <v>75</v>
      </c>
      <c r="H223" t="s">
        <v>145</v>
      </c>
      <c r="I223" t="s">
        <v>119</v>
      </c>
      <c r="J223" t="s">
        <v>102</v>
      </c>
      <c r="K223" t="s">
        <v>484</v>
      </c>
      <c r="L223" t="s">
        <v>99</v>
      </c>
      <c r="M223" t="s">
        <v>348</v>
      </c>
      <c r="N223" t="s">
        <v>117</v>
      </c>
      <c r="O223" t="str">
        <f t="shared" si="3"/>
        <v>Cincinnati Bengals</v>
      </c>
      <c r="P223">
        <v>33</v>
      </c>
    </row>
    <row r="224" spans="1:16" x14ac:dyDescent="0.25">
      <c r="A224" t="s">
        <v>95</v>
      </c>
      <c r="B224" t="s">
        <v>137</v>
      </c>
      <c r="C224" t="s">
        <v>58</v>
      </c>
      <c r="D224" t="s">
        <v>138</v>
      </c>
      <c r="E224" t="s">
        <v>59</v>
      </c>
      <c r="F224" t="s">
        <v>177</v>
      </c>
      <c r="G224" t="s">
        <v>60</v>
      </c>
      <c r="H224" t="s">
        <v>177</v>
      </c>
      <c r="I224" t="s">
        <v>97</v>
      </c>
      <c r="J224" t="s">
        <v>98</v>
      </c>
      <c r="K224" t="s">
        <v>139</v>
      </c>
      <c r="L224" t="s">
        <v>140</v>
      </c>
      <c r="M224" t="s">
        <v>141</v>
      </c>
      <c r="N224" t="s">
        <v>142</v>
      </c>
      <c r="O224" t="str">
        <f t="shared" si="3"/>
        <v>Winner/tie</v>
      </c>
    </row>
    <row r="225" spans="1:16" x14ac:dyDescent="0.25">
      <c r="A225" t="s">
        <v>110</v>
      </c>
      <c r="B225" t="s">
        <v>143</v>
      </c>
      <c r="C225" t="s">
        <v>280</v>
      </c>
      <c r="D225" t="s">
        <v>147</v>
      </c>
      <c r="E225" t="s">
        <v>85</v>
      </c>
      <c r="F225" t="s">
        <v>100</v>
      </c>
      <c r="G225" t="s">
        <v>90</v>
      </c>
      <c r="H225" t="s">
        <v>145</v>
      </c>
      <c r="I225" t="s">
        <v>124</v>
      </c>
      <c r="J225" t="s">
        <v>125</v>
      </c>
      <c r="K225" t="s">
        <v>486</v>
      </c>
      <c r="L225" t="s">
        <v>115</v>
      </c>
      <c r="M225" t="s">
        <v>491</v>
      </c>
      <c r="N225" t="s">
        <v>99</v>
      </c>
      <c r="O225" t="s">
        <v>85</v>
      </c>
      <c r="P225">
        <v>34</v>
      </c>
    </row>
    <row r="226" spans="1:16" x14ac:dyDescent="0.25">
      <c r="A226" t="s">
        <v>110</v>
      </c>
      <c r="B226" t="s">
        <v>148</v>
      </c>
      <c r="C226" t="s">
        <v>281</v>
      </c>
      <c r="D226" t="s">
        <v>149</v>
      </c>
      <c r="E226" t="s">
        <v>75</v>
      </c>
      <c r="F226" t="s">
        <v>100</v>
      </c>
      <c r="G226" t="s">
        <v>69</v>
      </c>
      <c r="H226" t="s">
        <v>145</v>
      </c>
      <c r="I226" t="s">
        <v>320</v>
      </c>
      <c r="J226" t="s">
        <v>133</v>
      </c>
      <c r="K226" t="s">
        <v>182</v>
      </c>
      <c r="L226" t="s">
        <v>99</v>
      </c>
      <c r="M226" t="s">
        <v>492</v>
      </c>
      <c r="N226" t="s">
        <v>130</v>
      </c>
      <c r="O226" t="str">
        <f t="shared" si="3"/>
        <v>Dallas Cowboys</v>
      </c>
    </row>
    <row r="227" spans="1:16" x14ac:dyDescent="0.25">
      <c r="A227" t="s">
        <v>110</v>
      </c>
      <c r="B227" t="s">
        <v>148</v>
      </c>
      <c r="C227" t="s">
        <v>281</v>
      </c>
      <c r="D227" t="s">
        <v>149</v>
      </c>
      <c r="E227" t="s">
        <v>70</v>
      </c>
      <c r="F227" t="s">
        <v>100</v>
      </c>
      <c r="G227" t="s">
        <v>72</v>
      </c>
      <c r="H227" t="s">
        <v>145</v>
      </c>
      <c r="I227" t="s">
        <v>120</v>
      </c>
      <c r="J227" t="s">
        <v>119</v>
      </c>
      <c r="K227" t="s">
        <v>331</v>
      </c>
      <c r="L227" t="s">
        <v>130</v>
      </c>
      <c r="M227" t="s">
        <v>352</v>
      </c>
      <c r="N227" t="s">
        <v>125</v>
      </c>
      <c r="O227" t="str">
        <f t="shared" si="3"/>
        <v>Cincinnati Bengals</v>
      </c>
    </row>
    <row r="228" spans="1:16" x14ac:dyDescent="0.25">
      <c r="A228" t="s">
        <v>110</v>
      </c>
      <c r="B228" t="s">
        <v>148</v>
      </c>
      <c r="C228" t="s">
        <v>281</v>
      </c>
      <c r="D228" t="s">
        <v>149</v>
      </c>
      <c r="E228" t="s">
        <v>61</v>
      </c>
      <c r="F228" t="s">
        <v>100</v>
      </c>
      <c r="G228" t="s">
        <v>74</v>
      </c>
      <c r="H228" t="s">
        <v>145</v>
      </c>
      <c r="I228" t="s">
        <v>101</v>
      </c>
      <c r="J228" t="s">
        <v>111</v>
      </c>
      <c r="K228" t="s">
        <v>337</v>
      </c>
      <c r="L228" t="s">
        <v>115</v>
      </c>
      <c r="M228" t="s">
        <v>214</v>
      </c>
      <c r="N228" t="s">
        <v>125</v>
      </c>
      <c r="O228" t="str">
        <f t="shared" si="3"/>
        <v>Cleveland Browns</v>
      </c>
    </row>
    <row r="229" spans="1:16" x14ac:dyDescent="0.25">
      <c r="A229" t="s">
        <v>110</v>
      </c>
      <c r="B229" t="s">
        <v>148</v>
      </c>
      <c r="C229" t="s">
        <v>281</v>
      </c>
      <c r="D229" t="s">
        <v>149</v>
      </c>
      <c r="E229" t="s">
        <v>68</v>
      </c>
      <c r="F229" t="s">
        <v>177</v>
      </c>
      <c r="G229" t="s">
        <v>86</v>
      </c>
      <c r="H229" t="s">
        <v>145</v>
      </c>
      <c r="I229" t="s">
        <v>102</v>
      </c>
      <c r="J229" t="s">
        <v>124</v>
      </c>
      <c r="K229" t="s">
        <v>493</v>
      </c>
      <c r="L229" t="s">
        <v>99</v>
      </c>
      <c r="M229" t="s">
        <v>195</v>
      </c>
      <c r="N229" t="s">
        <v>130</v>
      </c>
      <c r="O229" t="str">
        <f t="shared" si="3"/>
        <v>Houston Texans</v>
      </c>
    </row>
    <row r="230" spans="1:16" x14ac:dyDescent="0.25">
      <c r="A230" t="s">
        <v>110</v>
      </c>
      <c r="B230" t="s">
        <v>148</v>
      </c>
      <c r="C230" t="s">
        <v>281</v>
      </c>
      <c r="D230" t="s">
        <v>149</v>
      </c>
      <c r="E230" t="s">
        <v>88</v>
      </c>
      <c r="F230" t="s">
        <v>100</v>
      </c>
      <c r="G230" t="s">
        <v>83</v>
      </c>
      <c r="H230" t="s">
        <v>145</v>
      </c>
      <c r="I230" t="s">
        <v>212</v>
      </c>
      <c r="J230" t="s">
        <v>106</v>
      </c>
      <c r="K230" t="s">
        <v>196</v>
      </c>
      <c r="L230" t="s">
        <v>115</v>
      </c>
      <c r="M230" t="s">
        <v>418</v>
      </c>
      <c r="N230" t="s">
        <v>117</v>
      </c>
      <c r="O230" t="str">
        <f t="shared" si="3"/>
        <v>New York Jets</v>
      </c>
    </row>
    <row r="231" spans="1:16" x14ac:dyDescent="0.25">
      <c r="A231" t="s">
        <v>110</v>
      </c>
      <c r="B231" t="s">
        <v>148</v>
      </c>
      <c r="C231" t="s">
        <v>281</v>
      </c>
      <c r="D231" t="s">
        <v>149</v>
      </c>
      <c r="E231" t="s">
        <v>92</v>
      </c>
      <c r="F231" t="s">
        <v>100</v>
      </c>
      <c r="G231" t="s">
        <v>87</v>
      </c>
      <c r="H231" t="s">
        <v>145</v>
      </c>
      <c r="I231" t="s">
        <v>102</v>
      </c>
      <c r="J231" t="s">
        <v>127</v>
      </c>
      <c r="K231" t="s">
        <v>425</v>
      </c>
      <c r="L231" t="s">
        <v>115</v>
      </c>
      <c r="M231" t="s">
        <v>236</v>
      </c>
      <c r="N231" t="s">
        <v>99</v>
      </c>
      <c r="O231" t="str">
        <f t="shared" si="3"/>
        <v>Washington Commanders</v>
      </c>
    </row>
    <row r="232" spans="1:16" x14ac:dyDescent="0.25">
      <c r="A232" t="s">
        <v>110</v>
      </c>
      <c r="B232" t="s">
        <v>148</v>
      </c>
      <c r="C232" t="s">
        <v>281</v>
      </c>
      <c r="D232" t="s">
        <v>149</v>
      </c>
      <c r="E232" t="s">
        <v>65</v>
      </c>
      <c r="F232" t="s">
        <v>100</v>
      </c>
      <c r="G232" t="s">
        <v>82</v>
      </c>
      <c r="H232" t="s">
        <v>145</v>
      </c>
      <c r="I232" t="s">
        <v>364</v>
      </c>
      <c r="J232" t="s">
        <v>133</v>
      </c>
      <c r="K232" t="s">
        <v>356</v>
      </c>
      <c r="L232" t="s">
        <v>99</v>
      </c>
      <c r="M232" t="s">
        <v>366</v>
      </c>
      <c r="N232" t="s">
        <v>99</v>
      </c>
      <c r="O232" t="str">
        <f t="shared" si="3"/>
        <v>Baltimore Ravens</v>
      </c>
    </row>
    <row r="233" spans="1:16" x14ac:dyDescent="0.25">
      <c r="A233" t="s">
        <v>110</v>
      </c>
      <c r="B233" t="s">
        <v>148</v>
      </c>
      <c r="C233" t="s">
        <v>281</v>
      </c>
      <c r="D233" t="s">
        <v>151</v>
      </c>
      <c r="E233" t="s">
        <v>67</v>
      </c>
      <c r="F233" t="s">
        <v>100</v>
      </c>
      <c r="G233" t="s">
        <v>78</v>
      </c>
      <c r="H233" t="s">
        <v>145</v>
      </c>
      <c r="I233" t="s">
        <v>494</v>
      </c>
      <c r="J233" t="s">
        <v>358</v>
      </c>
      <c r="K233" t="s">
        <v>495</v>
      </c>
      <c r="L233" t="s">
        <v>115</v>
      </c>
      <c r="M233" t="s">
        <v>496</v>
      </c>
      <c r="N233" t="s">
        <v>99</v>
      </c>
      <c r="O233" t="str">
        <f t="shared" si="3"/>
        <v>Buffalo Bills</v>
      </c>
    </row>
    <row r="234" spans="1:16" x14ac:dyDescent="0.25">
      <c r="A234" t="s">
        <v>110</v>
      </c>
      <c r="B234" t="s">
        <v>148</v>
      </c>
      <c r="C234" t="s">
        <v>281</v>
      </c>
      <c r="D234" t="s">
        <v>151</v>
      </c>
      <c r="E234" t="s">
        <v>77</v>
      </c>
      <c r="F234" t="s">
        <v>177</v>
      </c>
      <c r="G234" t="s">
        <v>66</v>
      </c>
      <c r="H234" t="s">
        <v>145</v>
      </c>
      <c r="I234" t="s">
        <v>103</v>
      </c>
      <c r="J234" t="s">
        <v>114</v>
      </c>
      <c r="K234" t="s">
        <v>189</v>
      </c>
      <c r="L234" t="s">
        <v>105</v>
      </c>
      <c r="M234" t="s">
        <v>232</v>
      </c>
      <c r="N234" t="s">
        <v>132</v>
      </c>
      <c r="O234" t="str">
        <f t="shared" si="3"/>
        <v>Denver Broncos</v>
      </c>
    </row>
    <row r="235" spans="1:16" x14ac:dyDescent="0.25">
      <c r="A235" t="s">
        <v>110</v>
      </c>
      <c r="B235" t="s">
        <v>148</v>
      </c>
      <c r="C235" t="s">
        <v>281</v>
      </c>
      <c r="D235" t="s">
        <v>151</v>
      </c>
      <c r="E235" t="s">
        <v>62</v>
      </c>
      <c r="F235" t="s">
        <v>177</v>
      </c>
      <c r="G235" t="s">
        <v>76</v>
      </c>
      <c r="H235" t="s">
        <v>145</v>
      </c>
      <c r="I235" t="s">
        <v>320</v>
      </c>
      <c r="J235" t="s">
        <v>108</v>
      </c>
      <c r="K235" t="s">
        <v>316</v>
      </c>
      <c r="L235" t="s">
        <v>115</v>
      </c>
      <c r="M235" t="s">
        <v>337</v>
      </c>
      <c r="N235" t="s">
        <v>99</v>
      </c>
      <c r="O235" t="str">
        <f t="shared" si="3"/>
        <v>Arizona Cardinals</v>
      </c>
    </row>
    <row r="236" spans="1:16" x14ac:dyDescent="0.25">
      <c r="A236" t="s">
        <v>110</v>
      </c>
      <c r="B236" t="s">
        <v>148</v>
      </c>
      <c r="C236" t="s">
        <v>281</v>
      </c>
      <c r="D236" t="s">
        <v>151</v>
      </c>
      <c r="E236" t="s">
        <v>89</v>
      </c>
      <c r="F236" t="s">
        <v>177</v>
      </c>
      <c r="G236" t="s">
        <v>73</v>
      </c>
      <c r="H236" t="s">
        <v>145</v>
      </c>
      <c r="I236" t="s">
        <v>119</v>
      </c>
      <c r="J236" t="s">
        <v>114</v>
      </c>
      <c r="K236" t="s">
        <v>213</v>
      </c>
      <c r="L236" t="s">
        <v>117</v>
      </c>
      <c r="M236" t="s">
        <v>497</v>
      </c>
      <c r="N236" t="s">
        <v>99</v>
      </c>
      <c r="O236" t="str">
        <f t="shared" si="3"/>
        <v>Philadelphia Eagles</v>
      </c>
    </row>
    <row r="237" spans="1:16" x14ac:dyDescent="0.25">
      <c r="A237" t="s">
        <v>110</v>
      </c>
      <c r="B237" t="s">
        <v>148</v>
      </c>
      <c r="C237" t="s">
        <v>281</v>
      </c>
      <c r="D237" t="s">
        <v>151</v>
      </c>
      <c r="E237" t="s">
        <v>91</v>
      </c>
      <c r="F237" t="s">
        <v>100</v>
      </c>
      <c r="G237" t="s">
        <v>79</v>
      </c>
      <c r="H237" t="s">
        <v>145</v>
      </c>
      <c r="I237" t="s">
        <v>417</v>
      </c>
      <c r="J237" t="s">
        <v>108</v>
      </c>
      <c r="K237" t="s">
        <v>498</v>
      </c>
      <c r="L237" t="s">
        <v>117</v>
      </c>
      <c r="M237" t="s">
        <v>499</v>
      </c>
      <c r="N237" t="s">
        <v>117</v>
      </c>
      <c r="O237" t="str">
        <f t="shared" si="3"/>
        <v>Tampa Bay Buccaneers</v>
      </c>
    </row>
    <row r="238" spans="1:16" x14ac:dyDescent="0.25">
      <c r="A238" t="s">
        <v>110</v>
      </c>
      <c r="B238" t="s">
        <v>148</v>
      </c>
      <c r="C238" t="s">
        <v>281</v>
      </c>
      <c r="D238" t="s">
        <v>144</v>
      </c>
      <c r="E238" t="s">
        <v>80</v>
      </c>
      <c r="F238" t="s">
        <v>100</v>
      </c>
      <c r="G238" t="s">
        <v>81</v>
      </c>
      <c r="H238" t="s">
        <v>145</v>
      </c>
      <c r="I238" t="s">
        <v>320</v>
      </c>
      <c r="J238" t="s">
        <v>114</v>
      </c>
      <c r="K238" t="s">
        <v>411</v>
      </c>
      <c r="L238" t="s">
        <v>99</v>
      </c>
      <c r="M238" t="s">
        <v>500</v>
      </c>
      <c r="N238" t="s">
        <v>117</v>
      </c>
      <c r="O238" t="str">
        <f t="shared" si="3"/>
        <v>Green Bay Packers</v>
      </c>
    </row>
    <row r="239" spans="1:16" x14ac:dyDescent="0.25">
      <c r="A239" t="s">
        <v>110</v>
      </c>
      <c r="B239" t="s">
        <v>152</v>
      </c>
      <c r="C239" t="s">
        <v>282</v>
      </c>
      <c r="D239" t="s">
        <v>160</v>
      </c>
      <c r="E239" t="s">
        <v>63</v>
      </c>
      <c r="F239" t="s">
        <v>177</v>
      </c>
      <c r="G239" t="s">
        <v>71</v>
      </c>
      <c r="H239" t="s">
        <v>145</v>
      </c>
      <c r="I239" t="s">
        <v>320</v>
      </c>
      <c r="J239" t="s">
        <v>124</v>
      </c>
      <c r="K239" t="s">
        <v>363</v>
      </c>
      <c r="L239" t="s">
        <v>99</v>
      </c>
      <c r="M239" t="s">
        <v>413</v>
      </c>
      <c r="N239" t="s">
        <v>99</v>
      </c>
      <c r="O239" t="str">
        <f t="shared" si="3"/>
        <v>Minnesota Vikings</v>
      </c>
      <c r="P239">
        <v>35</v>
      </c>
    </row>
    <row r="240" spans="1:16" x14ac:dyDescent="0.25">
      <c r="A240" t="s">
        <v>110</v>
      </c>
      <c r="B240" t="s">
        <v>152</v>
      </c>
      <c r="C240" t="s">
        <v>282</v>
      </c>
      <c r="D240" t="s">
        <v>161</v>
      </c>
      <c r="E240" t="s">
        <v>64</v>
      </c>
      <c r="F240" t="s">
        <v>100</v>
      </c>
      <c r="G240" t="s">
        <v>84</v>
      </c>
      <c r="H240" t="s">
        <v>145</v>
      </c>
      <c r="I240" t="s">
        <v>110</v>
      </c>
      <c r="J240" t="s">
        <v>107</v>
      </c>
      <c r="K240" t="s">
        <v>447</v>
      </c>
      <c r="L240" t="s">
        <v>99</v>
      </c>
      <c r="M240" t="s">
        <v>501</v>
      </c>
      <c r="N240" t="s">
        <v>105</v>
      </c>
      <c r="O240" t="s">
        <v>64</v>
      </c>
      <c r="P240">
        <v>36</v>
      </c>
    </row>
    <row r="241" spans="1:16" x14ac:dyDescent="0.25">
      <c r="A241" t="s">
        <v>95</v>
      </c>
      <c r="B241" t="s">
        <v>137</v>
      </c>
      <c r="C241" t="s">
        <v>58</v>
      </c>
      <c r="D241" t="s">
        <v>138</v>
      </c>
      <c r="E241" t="s">
        <v>59</v>
      </c>
      <c r="F241" t="s">
        <v>177</v>
      </c>
      <c r="G241" t="s">
        <v>60</v>
      </c>
      <c r="H241" t="s">
        <v>177</v>
      </c>
      <c r="I241" t="s">
        <v>97</v>
      </c>
      <c r="J241" t="s">
        <v>98</v>
      </c>
      <c r="K241" t="s">
        <v>139</v>
      </c>
      <c r="L241" t="s">
        <v>140</v>
      </c>
      <c r="M241" t="s">
        <v>141</v>
      </c>
      <c r="N241" t="s">
        <v>142</v>
      </c>
      <c r="O241" t="str">
        <f t="shared" si="3"/>
        <v>Winner/tie</v>
      </c>
    </row>
    <row r="242" spans="1:16" x14ac:dyDescent="0.25">
      <c r="A242" t="s">
        <v>109</v>
      </c>
      <c r="B242" t="s">
        <v>143</v>
      </c>
      <c r="C242" t="s">
        <v>283</v>
      </c>
      <c r="D242" t="s">
        <v>147</v>
      </c>
      <c r="E242" t="s">
        <v>79</v>
      </c>
      <c r="F242" t="s">
        <v>177</v>
      </c>
      <c r="G242" t="s">
        <v>77</v>
      </c>
      <c r="H242" t="s">
        <v>145</v>
      </c>
      <c r="I242" t="s">
        <v>113</v>
      </c>
      <c r="J242" t="s">
        <v>119</v>
      </c>
      <c r="K242" t="s">
        <v>502</v>
      </c>
      <c r="L242" t="s">
        <v>99</v>
      </c>
      <c r="M242" t="s">
        <v>503</v>
      </c>
      <c r="N242" t="s">
        <v>115</v>
      </c>
      <c r="O242" t="str">
        <f t="shared" si="3"/>
        <v>Los Angeles Chargers</v>
      </c>
    </row>
    <row r="243" spans="1:16" x14ac:dyDescent="0.25">
      <c r="A243" t="s">
        <v>109</v>
      </c>
      <c r="B243" t="s">
        <v>162</v>
      </c>
      <c r="C243" t="s">
        <v>284</v>
      </c>
      <c r="D243" t="s">
        <v>149</v>
      </c>
      <c r="E243" t="s">
        <v>61</v>
      </c>
      <c r="F243" t="s">
        <v>177</v>
      </c>
      <c r="G243" t="s">
        <v>68</v>
      </c>
      <c r="H243" t="s">
        <v>145</v>
      </c>
      <c r="I243" t="s">
        <v>119</v>
      </c>
      <c r="J243" t="s">
        <v>127</v>
      </c>
      <c r="K243" t="s">
        <v>346</v>
      </c>
      <c r="L243" t="s">
        <v>115</v>
      </c>
      <c r="M243" t="s">
        <v>337</v>
      </c>
      <c r="N243" t="s">
        <v>117</v>
      </c>
      <c r="O243" t="str">
        <f t="shared" si="3"/>
        <v>Kansas City Chiefs</v>
      </c>
      <c r="P243">
        <v>38</v>
      </c>
    </row>
    <row r="244" spans="1:16" x14ac:dyDescent="0.25">
      <c r="A244" t="s">
        <v>109</v>
      </c>
      <c r="B244" t="s">
        <v>162</v>
      </c>
      <c r="C244" t="s">
        <v>284</v>
      </c>
      <c r="D244" t="s">
        <v>158</v>
      </c>
      <c r="E244" t="s">
        <v>65</v>
      </c>
      <c r="F244" t="s">
        <v>177</v>
      </c>
      <c r="G244" t="s">
        <v>73</v>
      </c>
      <c r="H244" t="s">
        <v>145</v>
      </c>
      <c r="I244" t="s">
        <v>113</v>
      </c>
      <c r="J244" t="s">
        <v>108</v>
      </c>
      <c r="K244" t="s">
        <v>504</v>
      </c>
      <c r="L244" t="s">
        <v>99</v>
      </c>
      <c r="M244" t="s">
        <v>344</v>
      </c>
      <c r="N244" t="s">
        <v>117</v>
      </c>
      <c r="O244" t="str">
        <f t="shared" si="3"/>
        <v>Baltimore Ravens</v>
      </c>
    </row>
    <row r="245" spans="1:16" x14ac:dyDescent="0.25">
      <c r="A245" t="s">
        <v>109</v>
      </c>
      <c r="B245" t="s">
        <v>148</v>
      </c>
      <c r="C245" t="s">
        <v>285</v>
      </c>
      <c r="D245" t="s">
        <v>149</v>
      </c>
      <c r="E245" t="s">
        <v>64</v>
      </c>
      <c r="F245" t="s">
        <v>177</v>
      </c>
      <c r="G245" t="s">
        <v>82</v>
      </c>
      <c r="H245" t="s">
        <v>145</v>
      </c>
      <c r="I245" t="s">
        <v>113</v>
      </c>
      <c r="J245" t="s">
        <v>111</v>
      </c>
      <c r="K245" t="s">
        <v>363</v>
      </c>
      <c r="L245" t="s">
        <v>99</v>
      </c>
      <c r="M245" t="s">
        <v>505</v>
      </c>
      <c r="N245" t="s">
        <v>105</v>
      </c>
      <c r="O245" t="str">
        <f t="shared" si="3"/>
        <v>New York Giants</v>
      </c>
    </row>
    <row r="246" spans="1:16" x14ac:dyDescent="0.25">
      <c r="A246" t="s">
        <v>109</v>
      </c>
      <c r="B246" t="s">
        <v>148</v>
      </c>
      <c r="C246" t="s">
        <v>285</v>
      </c>
      <c r="D246" t="s">
        <v>149</v>
      </c>
      <c r="E246" t="s">
        <v>69</v>
      </c>
      <c r="F246" t="s">
        <v>177</v>
      </c>
      <c r="G246" t="s">
        <v>62</v>
      </c>
      <c r="H246" t="s">
        <v>145</v>
      </c>
      <c r="I246" t="s">
        <v>328</v>
      </c>
      <c r="J246" t="s">
        <v>320</v>
      </c>
      <c r="K246" t="s">
        <v>205</v>
      </c>
      <c r="L246" t="s">
        <v>115</v>
      </c>
      <c r="M246" t="s">
        <v>471</v>
      </c>
      <c r="N246" t="s">
        <v>117</v>
      </c>
      <c r="O246" t="str">
        <f t="shared" si="3"/>
        <v>Carolina Panthers</v>
      </c>
    </row>
    <row r="247" spans="1:16" x14ac:dyDescent="0.25">
      <c r="A247" t="s">
        <v>109</v>
      </c>
      <c r="B247" t="s">
        <v>148</v>
      </c>
      <c r="C247" t="s">
        <v>285</v>
      </c>
      <c r="D247" t="s">
        <v>149</v>
      </c>
      <c r="E247" t="s">
        <v>78</v>
      </c>
      <c r="F247" t="s">
        <v>100</v>
      </c>
      <c r="G247" t="s">
        <v>71</v>
      </c>
      <c r="H247" t="s">
        <v>145</v>
      </c>
      <c r="I247" t="s">
        <v>113</v>
      </c>
      <c r="J247" t="s">
        <v>108</v>
      </c>
      <c r="K247" t="s">
        <v>506</v>
      </c>
      <c r="L247" t="s">
        <v>115</v>
      </c>
      <c r="M247" t="s">
        <v>471</v>
      </c>
      <c r="N247" t="s">
        <v>117</v>
      </c>
      <c r="O247" t="str">
        <f t="shared" si="3"/>
        <v>Detroit Lions</v>
      </c>
    </row>
    <row r="248" spans="1:16" x14ac:dyDescent="0.25">
      <c r="A248" t="s">
        <v>109</v>
      </c>
      <c r="B248" t="s">
        <v>148</v>
      </c>
      <c r="C248" t="s">
        <v>285</v>
      </c>
      <c r="D248" t="s">
        <v>149</v>
      </c>
      <c r="E248" t="s">
        <v>70</v>
      </c>
      <c r="F248" t="s">
        <v>177</v>
      </c>
      <c r="G248" t="s">
        <v>74</v>
      </c>
      <c r="H248" t="s">
        <v>145</v>
      </c>
      <c r="I248" t="s">
        <v>104</v>
      </c>
      <c r="J248" t="s">
        <v>125</v>
      </c>
      <c r="K248" t="s">
        <v>425</v>
      </c>
      <c r="L248" t="s">
        <v>99</v>
      </c>
      <c r="M248" t="s">
        <v>479</v>
      </c>
      <c r="N248" t="s">
        <v>105</v>
      </c>
      <c r="O248" t="s">
        <v>70</v>
      </c>
      <c r="P248">
        <v>37</v>
      </c>
    </row>
    <row r="249" spans="1:16" x14ac:dyDescent="0.25">
      <c r="A249" t="s">
        <v>109</v>
      </c>
      <c r="B249" t="s">
        <v>148</v>
      </c>
      <c r="C249" t="s">
        <v>285</v>
      </c>
      <c r="D249" t="s">
        <v>149</v>
      </c>
      <c r="E249" t="s">
        <v>66</v>
      </c>
      <c r="F249" t="s">
        <v>177</v>
      </c>
      <c r="G249" t="s">
        <v>72</v>
      </c>
      <c r="H249" t="s">
        <v>145</v>
      </c>
      <c r="I249" t="s">
        <v>340</v>
      </c>
      <c r="J249" t="s">
        <v>320</v>
      </c>
      <c r="K249" t="s">
        <v>507</v>
      </c>
      <c r="L249" t="s">
        <v>99</v>
      </c>
      <c r="M249" t="s">
        <v>437</v>
      </c>
      <c r="N249" t="s">
        <v>105</v>
      </c>
      <c r="O249" t="str">
        <f t="shared" si="3"/>
        <v>Indianapolis Colts</v>
      </c>
    </row>
    <row r="250" spans="1:16" x14ac:dyDescent="0.25">
      <c r="A250" t="s">
        <v>109</v>
      </c>
      <c r="B250" t="s">
        <v>148</v>
      </c>
      <c r="C250" t="s">
        <v>285</v>
      </c>
      <c r="D250" t="s">
        <v>149</v>
      </c>
      <c r="E250" t="s">
        <v>85</v>
      </c>
      <c r="F250" t="s">
        <v>100</v>
      </c>
      <c r="G250" t="s">
        <v>88</v>
      </c>
      <c r="H250" t="s">
        <v>145</v>
      </c>
      <c r="I250" t="s">
        <v>127</v>
      </c>
      <c r="J250" t="s">
        <v>107</v>
      </c>
      <c r="K250" t="s">
        <v>452</v>
      </c>
      <c r="L250" t="s">
        <v>99</v>
      </c>
      <c r="M250" t="s">
        <v>508</v>
      </c>
      <c r="N250" t="s">
        <v>117</v>
      </c>
      <c r="O250" t="str">
        <f t="shared" si="3"/>
        <v>New York Jets</v>
      </c>
    </row>
    <row r="251" spans="1:16" x14ac:dyDescent="0.25">
      <c r="A251" t="s">
        <v>109</v>
      </c>
      <c r="B251" t="s">
        <v>148</v>
      </c>
      <c r="C251" t="s">
        <v>285</v>
      </c>
      <c r="D251" t="s">
        <v>149</v>
      </c>
      <c r="E251" t="s">
        <v>92</v>
      </c>
      <c r="F251" t="s">
        <v>177</v>
      </c>
      <c r="G251" t="s">
        <v>89</v>
      </c>
      <c r="H251" t="s">
        <v>145</v>
      </c>
      <c r="I251" t="s">
        <v>328</v>
      </c>
      <c r="J251" t="s">
        <v>122</v>
      </c>
      <c r="K251" t="s">
        <v>393</v>
      </c>
      <c r="L251" t="s">
        <v>132</v>
      </c>
      <c r="M251" t="s">
        <v>220</v>
      </c>
      <c r="N251" t="s">
        <v>117</v>
      </c>
      <c r="O251" t="str">
        <f t="shared" si="3"/>
        <v>Washington Commanders</v>
      </c>
    </row>
    <row r="252" spans="1:16" x14ac:dyDescent="0.25">
      <c r="A252" t="s">
        <v>109</v>
      </c>
      <c r="B252" t="s">
        <v>148</v>
      </c>
      <c r="C252" t="s">
        <v>285</v>
      </c>
      <c r="D252" t="s">
        <v>150</v>
      </c>
      <c r="E252" t="s">
        <v>63</v>
      </c>
      <c r="F252" t="s">
        <v>100</v>
      </c>
      <c r="G252" t="s">
        <v>81</v>
      </c>
      <c r="H252" t="s">
        <v>145</v>
      </c>
      <c r="I252" t="s">
        <v>119</v>
      </c>
      <c r="J252" t="s">
        <v>104</v>
      </c>
      <c r="K252" t="s">
        <v>475</v>
      </c>
      <c r="L252" t="s">
        <v>115</v>
      </c>
      <c r="M252" t="s">
        <v>455</v>
      </c>
      <c r="N252" t="s">
        <v>117</v>
      </c>
      <c r="O252" t="str">
        <f t="shared" si="3"/>
        <v>Minnesota Vikings</v>
      </c>
    </row>
    <row r="253" spans="1:16" x14ac:dyDescent="0.25">
      <c r="A253" t="s">
        <v>109</v>
      </c>
      <c r="B253" t="s">
        <v>148</v>
      </c>
      <c r="C253" t="s">
        <v>285</v>
      </c>
      <c r="D253" t="s">
        <v>151</v>
      </c>
      <c r="E253" t="s">
        <v>67</v>
      </c>
      <c r="F253" t="s">
        <v>177</v>
      </c>
      <c r="G253" t="s">
        <v>76</v>
      </c>
      <c r="H253" t="s">
        <v>145</v>
      </c>
      <c r="I253" t="s">
        <v>104</v>
      </c>
      <c r="J253" t="s">
        <v>101</v>
      </c>
      <c r="K253" t="s">
        <v>509</v>
      </c>
      <c r="L253" t="s">
        <v>99</v>
      </c>
      <c r="M253" t="s">
        <v>188</v>
      </c>
      <c r="N253" t="s">
        <v>105</v>
      </c>
      <c r="O253" t="str">
        <f t="shared" si="3"/>
        <v>Buffalo Bills</v>
      </c>
    </row>
    <row r="254" spans="1:16" x14ac:dyDescent="0.25">
      <c r="A254" t="s">
        <v>109</v>
      </c>
      <c r="B254" t="s">
        <v>148</v>
      </c>
      <c r="C254" t="s">
        <v>285</v>
      </c>
      <c r="D254" t="s">
        <v>151</v>
      </c>
      <c r="E254" t="s">
        <v>84</v>
      </c>
      <c r="F254" t="s">
        <v>177</v>
      </c>
      <c r="G254" t="s">
        <v>83</v>
      </c>
      <c r="H254" t="s">
        <v>145</v>
      </c>
      <c r="I254" t="s">
        <v>127</v>
      </c>
      <c r="J254" t="s">
        <v>133</v>
      </c>
      <c r="K254" t="s">
        <v>510</v>
      </c>
      <c r="L254" t="s">
        <v>115</v>
      </c>
      <c r="M254" t="s">
        <v>511</v>
      </c>
      <c r="N254" t="s">
        <v>117</v>
      </c>
      <c r="O254" t="str">
        <f t="shared" si="3"/>
        <v>Las Vegas Raiders</v>
      </c>
    </row>
    <row r="255" spans="1:16" x14ac:dyDescent="0.25">
      <c r="A255" t="s">
        <v>109</v>
      </c>
      <c r="B255" t="s">
        <v>148</v>
      </c>
      <c r="C255" t="s">
        <v>285</v>
      </c>
      <c r="D255" t="s">
        <v>151</v>
      </c>
      <c r="E255" t="s">
        <v>86</v>
      </c>
      <c r="F255" t="s">
        <v>177</v>
      </c>
      <c r="G255" t="s">
        <v>90</v>
      </c>
      <c r="H255" t="s">
        <v>145</v>
      </c>
      <c r="I255" t="s">
        <v>131</v>
      </c>
      <c r="J255" t="s">
        <v>108</v>
      </c>
      <c r="K255" t="s">
        <v>512</v>
      </c>
      <c r="L255" t="s">
        <v>115</v>
      </c>
      <c r="M255" t="s">
        <v>352</v>
      </c>
      <c r="N255" t="s">
        <v>99</v>
      </c>
      <c r="O255" t="str">
        <f t="shared" si="3"/>
        <v>Miami Dolphins</v>
      </c>
    </row>
    <row r="256" spans="1:16" x14ac:dyDescent="0.25">
      <c r="A256" t="s">
        <v>109</v>
      </c>
      <c r="B256" t="s">
        <v>148</v>
      </c>
      <c r="C256" t="s">
        <v>285</v>
      </c>
      <c r="D256" t="s">
        <v>144</v>
      </c>
      <c r="E256" t="s">
        <v>75</v>
      </c>
      <c r="F256" t="s">
        <v>177</v>
      </c>
      <c r="G256" t="s">
        <v>91</v>
      </c>
      <c r="H256" t="s">
        <v>145</v>
      </c>
      <c r="I256" t="s">
        <v>123</v>
      </c>
      <c r="J256" t="s">
        <v>104</v>
      </c>
      <c r="K256" t="s">
        <v>421</v>
      </c>
      <c r="L256" t="s">
        <v>115</v>
      </c>
      <c r="M256" t="s">
        <v>182</v>
      </c>
      <c r="N256" t="s">
        <v>117</v>
      </c>
      <c r="O256" t="str">
        <f t="shared" si="3"/>
        <v>Dallas Cowboys</v>
      </c>
    </row>
    <row r="257" spans="1:16" x14ac:dyDescent="0.25">
      <c r="A257" t="s">
        <v>109</v>
      </c>
      <c r="B257" t="s">
        <v>152</v>
      </c>
      <c r="C257" t="s">
        <v>286</v>
      </c>
      <c r="D257" t="s">
        <v>147</v>
      </c>
      <c r="E257" t="s">
        <v>80</v>
      </c>
      <c r="F257" t="s">
        <v>177</v>
      </c>
      <c r="G257" t="s">
        <v>87</v>
      </c>
      <c r="H257" t="s">
        <v>145</v>
      </c>
      <c r="I257" t="s">
        <v>113</v>
      </c>
      <c r="J257" t="s">
        <v>115</v>
      </c>
      <c r="K257" t="s">
        <v>349</v>
      </c>
      <c r="L257" t="s">
        <v>115</v>
      </c>
      <c r="M257" t="s">
        <v>513</v>
      </c>
      <c r="N257" t="s">
        <v>117</v>
      </c>
      <c r="O257" t="str">
        <f t="shared" si="3"/>
        <v>Green Bay Packers</v>
      </c>
      <c r="P257">
        <v>39</v>
      </c>
    </row>
    <row r="258" spans="1:16" x14ac:dyDescent="0.25">
      <c r="A258" t="s">
        <v>95</v>
      </c>
      <c r="B258" t="s">
        <v>137</v>
      </c>
      <c r="C258" t="s">
        <v>58</v>
      </c>
      <c r="D258" t="s">
        <v>138</v>
      </c>
      <c r="E258" t="s">
        <v>59</v>
      </c>
      <c r="F258" t="s">
        <v>177</v>
      </c>
      <c r="G258" t="s">
        <v>60</v>
      </c>
      <c r="H258" t="s">
        <v>177</v>
      </c>
      <c r="I258" t="s">
        <v>97</v>
      </c>
      <c r="J258" t="s">
        <v>98</v>
      </c>
      <c r="K258" t="s">
        <v>139</v>
      </c>
      <c r="L258" t="s">
        <v>140</v>
      </c>
      <c r="M258" t="s">
        <v>141</v>
      </c>
      <c r="N258" t="s">
        <v>142</v>
      </c>
      <c r="O258" t="str">
        <f t="shared" ref="O258:O304" si="4">IF(I258&gt;J258, E258, IF(I258&lt;J258, G258, "Tie"))</f>
        <v>Winner/tie</v>
      </c>
    </row>
    <row r="259" spans="1:16" x14ac:dyDescent="0.25">
      <c r="A259" t="s">
        <v>108</v>
      </c>
      <c r="B259" t="s">
        <v>163</v>
      </c>
      <c r="C259" t="s">
        <v>287</v>
      </c>
      <c r="D259" t="s">
        <v>149</v>
      </c>
      <c r="E259" t="s">
        <v>61</v>
      </c>
      <c r="F259" t="s">
        <v>100</v>
      </c>
      <c r="G259" t="s">
        <v>73</v>
      </c>
      <c r="H259" t="s">
        <v>145</v>
      </c>
      <c r="I259" t="s">
        <v>131</v>
      </c>
      <c r="J259" t="s">
        <v>112</v>
      </c>
      <c r="K259" t="s">
        <v>368</v>
      </c>
      <c r="L259" t="s">
        <v>115</v>
      </c>
      <c r="M259" t="s">
        <v>408</v>
      </c>
      <c r="N259" t="s">
        <v>117</v>
      </c>
      <c r="O259" t="str">
        <f t="shared" si="4"/>
        <v>Kansas City Chiefs</v>
      </c>
    </row>
    <row r="260" spans="1:16" x14ac:dyDescent="0.25">
      <c r="A260" t="s">
        <v>108</v>
      </c>
      <c r="B260" t="s">
        <v>163</v>
      </c>
      <c r="C260" t="s">
        <v>287</v>
      </c>
      <c r="D260" t="s">
        <v>158</v>
      </c>
      <c r="E260" t="s">
        <v>65</v>
      </c>
      <c r="F260" t="s">
        <v>100</v>
      </c>
      <c r="G260" t="s">
        <v>68</v>
      </c>
      <c r="H260" t="s">
        <v>145</v>
      </c>
      <c r="I260" t="s">
        <v>103</v>
      </c>
      <c r="J260" t="s">
        <v>117</v>
      </c>
      <c r="K260" t="s">
        <v>222</v>
      </c>
      <c r="L260" t="s">
        <v>115</v>
      </c>
      <c r="M260" t="s">
        <v>514</v>
      </c>
      <c r="N260" t="s">
        <v>99</v>
      </c>
      <c r="O260" t="str">
        <f t="shared" si="4"/>
        <v>Baltimore Ravens</v>
      </c>
      <c r="P260">
        <v>40</v>
      </c>
    </row>
    <row r="261" spans="1:16" x14ac:dyDescent="0.25">
      <c r="A261" t="s">
        <v>108</v>
      </c>
      <c r="B261" t="s">
        <v>143</v>
      </c>
      <c r="C261" t="s">
        <v>288</v>
      </c>
      <c r="D261" t="s">
        <v>147</v>
      </c>
      <c r="E261" t="s">
        <v>81</v>
      </c>
      <c r="F261" t="s">
        <v>100</v>
      </c>
      <c r="G261" t="s">
        <v>71</v>
      </c>
      <c r="H261" t="s">
        <v>145</v>
      </c>
      <c r="I261" t="s">
        <v>125</v>
      </c>
      <c r="J261" t="s">
        <v>105</v>
      </c>
      <c r="K261" t="s">
        <v>207</v>
      </c>
      <c r="L261" t="s">
        <v>99</v>
      </c>
      <c r="M261" t="s">
        <v>515</v>
      </c>
      <c r="N261" t="s">
        <v>99</v>
      </c>
      <c r="O261" t="str">
        <f>IF(I261&gt;J261, E261, IF(I261&lt;J261, G261, "Tie"))</f>
        <v>Seattle Seahawks</v>
      </c>
      <c r="P261">
        <v>41</v>
      </c>
    </row>
    <row r="262" spans="1:16" x14ac:dyDescent="0.25">
      <c r="A262" t="s">
        <v>108</v>
      </c>
      <c r="B262" t="s">
        <v>162</v>
      </c>
      <c r="C262" t="s">
        <v>516</v>
      </c>
      <c r="D262" t="s">
        <v>149</v>
      </c>
      <c r="E262" t="s">
        <v>79</v>
      </c>
      <c r="F262" t="s">
        <v>100</v>
      </c>
      <c r="G262" t="s">
        <v>76</v>
      </c>
      <c r="H262" t="s">
        <v>145</v>
      </c>
      <c r="I262" t="s">
        <v>417</v>
      </c>
      <c r="J262" t="s">
        <v>111</v>
      </c>
      <c r="K262" t="s">
        <v>517</v>
      </c>
      <c r="L262" t="s">
        <v>115</v>
      </c>
      <c r="M262" t="s">
        <v>493</v>
      </c>
      <c r="N262" t="s">
        <v>99</v>
      </c>
      <c r="O262" t="str">
        <f t="shared" si="4"/>
        <v>New England Patriots</v>
      </c>
    </row>
    <row r="263" spans="1:16" x14ac:dyDescent="0.25">
      <c r="A263" t="s">
        <v>108</v>
      </c>
      <c r="B263" t="s">
        <v>162</v>
      </c>
      <c r="C263" t="s">
        <v>516</v>
      </c>
      <c r="D263" t="s">
        <v>158</v>
      </c>
      <c r="E263" t="s">
        <v>70</v>
      </c>
      <c r="F263" t="s">
        <v>177</v>
      </c>
      <c r="G263" t="s">
        <v>77</v>
      </c>
      <c r="H263" t="s">
        <v>145</v>
      </c>
      <c r="I263" t="s">
        <v>320</v>
      </c>
      <c r="J263" t="s">
        <v>104</v>
      </c>
      <c r="K263" t="s">
        <v>518</v>
      </c>
      <c r="L263" t="s">
        <v>99</v>
      </c>
      <c r="M263" t="s">
        <v>363</v>
      </c>
      <c r="N263" t="s">
        <v>99</v>
      </c>
      <c r="O263" t="str">
        <f t="shared" si="4"/>
        <v>Cincinnati Bengals</v>
      </c>
    </row>
    <row r="264" spans="1:16" x14ac:dyDescent="0.25">
      <c r="A264" t="s">
        <v>108</v>
      </c>
      <c r="B264" t="s">
        <v>162</v>
      </c>
      <c r="C264" t="s">
        <v>516</v>
      </c>
      <c r="D264" t="s">
        <v>519</v>
      </c>
      <c r="E264" t="s">
        <v>85</v>
      </c>
      <c r="F264" t="s">
        <v>177</v>
      </c>
      <c r="G264" t="s">
        <v>62</v>
      </c>
      <c r="H264" t="s">
        <v>145</v>
      </c>
      <c r="I264" t="s">
        <v>114</v>
      </c>
      <c r="J264" t="s">
        <v>107</v>
      </c>
      <c r="K264" t="s">
        <v>520</v>
      </c>
      <c r="L264" t="s">
        <v>115</v>
      </c>
      <c r="M264" t="s">
        <v>313</v>
      </c>
      <c r="N264" t="s">
        <v>117</v>
      </c>
      <c r="O264" t="str">
        <f t="shared" si="4"/>
        <v>Arizona Cardinals</v>
      </c>
    </row>
    <row r="265" spans="1:16" x14ac:dyDescent="0.25">
      <c r="A265" t="s">
        <v>108</v>
      </c>
      <c r="B265" t="s">
        <v>148</v>
      </c>
      <c r="C265" t="s">
        <v>289</v>
      </c>
      <c r="D265" t="s">
        <v>149</v>
      </c>
      <c r="E265" t="s">
        <v>67</v>
      </c>
      <c r="F265" t="s">
        <v>177</v>
      </c>
      <c r="G265" t="s">
        <v>88</v>
      </c>
      <c r="H265" t="s">
        <v>145</v>
      </c>
      <c r="I265" t="s">
        <v>417</v>
      </c>
      <c r="J265" t="s">
        <v>133</v>
      </c>
      <c r="K265" t="s">
        <v>458</v>
      </c>
      <c r="L265" t="s">
        <v>115</v>
      </c>
      <c r="M265" t="s">
        <v>521</v>
      </c>
      <c r="N265" t="s">
        <v>105</v>
      </c>
      <c r="O265" t="str">
        <f t="shared" si="4"/>
        <v>Buffalo Bills</v>
      </c>
    </row>
    <row r="266" spans="1:16" x14ac:dyDescent="0.25">
      <c r="A266" t="s">
        <v>108</v>
      </c>
      <c r="B266" t="s">
        <v>148</v>
      </c>
      <c r="C266" t="s">
        <v>289</v>
      </c>
      <c r="D266" t="s">
        <v>149</v>
      </c>
      <c r="E266" t="s">
        <v>91</v>
      </c>
      <c r="F266" t="s">
        <v>177</v>
      </c>
      <c r="G266" t="s">
        <v>69</v>
      </c>
      <c r="H266" t="s">
        <v>145</v>
      </c>
      <c r="I266" t="s">
        <v>494</v>
      </c>
      <c r="J266" t="s">
        <v>133</v>
      </c>
      <c r="K266" t="s">
        <v>522</v>
      </c>
      <c r="L266" t="s">
        <v>115</v>
      </c>
      <c r="M266" t="s">
        <v>523</v>
      </c>
      <c r="N266" t="s">
        <v>115</v>
      </c>
      <c r="O266" t="str">
        <f t="shared" si="4"/>
        <v>Tampa Bay Buccaneers</v>
      </c>
    </row>
    <row r="267" spans="1:16" x14ac:dyDescent="0.25">
      <c r="A267" t="s">
        <v>108</v>
      </c>
      <c r="B267" t="s">
        <v>148</v>
      </c>
      <c r="C267" t="s">
        <v>289</v>
      </c>
      <c r="D267" t="s">
        <v>149</v>
      </c>
      <c r="E267" t="s">
        <v>82</v>
      </c>
      <c r="F267" t="s">
        <v>177</v>
      </c>
      <c r="G267" t="s">
        <v>66</v>
      </c>
      <c r="H267" t="s">
        <v>145</v>
      </c>
      <c r="I267" t="s">
        <v>524</v>
      </c>
      <c r="J267" t="s">
        <v>122</v>
      </c>
      <c r="K267" t="s">
        <v>368</v>
      </c>
      <c r="L267" t="s">
        <v>115</v>
      </c>
      <c r="M267" t="s">
        <v>525</v>
      </c>
      <c r="N267" t="s">
        <v>105</v>
      </c>
      <c r="O267" t="str">
        <f t="shared" si="4"/>
        <v>New York Giants</v>
      </c>
    </row>
    <row r="268" spans="1:16" x14ac:dyDescent="0.25">
      <c r="A268" t="s">
        <v>108</v>
      </c>
      <c r="B268" t="s">
        <v>148</v>
      </c>
      <c r="C268" t="s">
        <v>289</v>
      </c>
      <c r="D268" t="s">
        <v>149</v>
      </c>
      <c r="E268" t="s">
        <v>89</v>
      </c>
      <c r="F268" t="s">
        <v>177</v>
      </c>
      <c r="G268" t="s">
        <v>75</v>
      </c>
      <c r="H268" t="s">
        <v>145</v>
      </c>
      <c r="I268" t="s">
        <v>128</v>
      </c>
      <c r="J268" t="s">
        <v>111</v>
      </c>
      <c r="K268" t="s">
        <v>526</v>
      </c>
      <c r="L268" t="s">
        <v>115</v>
      </c>
      <c r="M268" t="s">
        <v>361</v>
      </c>
      <c r="N268" t="s">
        <v>130</v>
      </c>
      <c r="O268" t="str">
        <f t="shared" si="4"/>
        <v>Dallas Cowboys</v>
      </c>
    </row>
    <row r="269" spans="1:16" x14ac:dyDescent="0.25">
      <c r="A269" t="s">
        <v>108</v>
      </c>
      <c r="B269" t="s">
        <v>148</v>
      </c>
      <c r="C269" t="s">
        <v>289</v>
      </c>
      <c r="D269" t="s">
        <v>149</v>
      </c>
      <c r="E269" t="s">
        <v>83</v>
      </c>
      <c r="F269" t="s">
        <v>177</v>
      </c>
      <c r="G269" t="s">
        <v>72</v>
      </c>
      <c r="H269" t="s">
        <v>145</v>
      </c>
      <c r="I269" t="s">
        <v>102</v>
      </c>
      <c r="J269" t="s">
        <v>114</v>
      </c>
      <c r="K269" t="s">
        <v>240</v>
      </c>
      <c r="L269" t="s">
        <v>115</v>
      </c>
      <c r="M269" t="s">
        <v>414</v>
      </c>
      <c r="N269" t="s">
        <v>99</v>
      </c>
      <c r="O269" t="str">
        <f t="shared" si="4"/>
        <v>Jacksonville Jaguars</v>
      </c>
    </row>
    <row r="270" spans="1:16" x14ac:dyDescent="0.25">
      <c r="A270" t="s">
        <v>108</v>
      </c>
      <c r="B270" t="s">
        <v>148</v>
      </c>
      <c r="C270" t="s">
        <v>289</v>
      </c>
      <c r="D270" t="s">
        <v>149</v>
      </c>
      <c r="E270" t="s">
        <v>84</v>
      </c>
      <c r="F270" t="s">
        <v>100</v>
      </c>
      <c r="G270" t="s">
        <v>87</v>
      </c>
      <c r="H270" t="s">
        <v>145</v>
      </c>
      <c r="I270" t="s">
        <v>106</v>
      </c>
      <c r="J270" t="s">
        <v>112</v>
      </c>
      <c r="K270" t="s">
        <v>338</v>
      </c>
      <c r="L270" t="s">
        <v>115</v>
      </c>
      <c r="M270" t="s">
        <v>392</v>
      </c>
      <c r="N270" t="s">
        <v>117</v>
      </c>
      <c r="O270" t="str">
        <f t="shared" si="4"/>
        <v>Las Vegas Raiders</v>
      </c>
    </row>
    <row r="271" spans="1:16" x14ac:dyDescent="0.25">
      <c r="A271" t="s">
        <v>108</v>
      </c>
      <c r="B271" t="s">
        <v>148</v>
      </c>
      <c r="C271" t="s">
        <v>289</v>
      </c>
      <c r="D271" t="s">
        <v>150</v>
      </c>
      <c r="E271" t="s">
        <v>86</v>
      </c>
      <c r="F271" t="s">
        <v>100</v>
      </c>
      <c r="G271" t="s">
        <v>74</v>
      </c>
      <c r="H271" t="s">
        <v>145</v>
      </c>
      <c r="I271" t="s">
        <v>102</v>
      </c>
      <c r="J271" t="s">
        <v>105</v>
      </c>
      <c r="K271" t="s">
        <v>432</v>
      </c>
      <c r="L271" t="s">
        <v>115</v>
      </c>
      <c r="M271" t="s">
        <v>374</v>
      </c>
      <c r="N271" t="s">
        <v>117</v>
      </c>
      <c r="O271" t="str">
        <f t="shared" si="4"/>
        <v>Cleveland Browns</v>
      </c>
    </row>
    <row r="272" spans="1:16" x14ac:dyDescent="0.25">
      <c r="A272" t="s">
        <v>108</v>
      </c>
      <c r="B272" t="s">
        <v>148</v>
      </c>
      <c r="C272" t="s">
        <v>289</v>
      </c>
      <c r="D272" t="s">
        <v>151</v>
      </c>
      <c r="E272" t="s">
        <v>63</v>
      </c>
      <c r="F272" t="s">
        <v>177</v>
      </c>
      <c r="G272" t="s">
        <v>80</v>
      </c>
      <c r="H272" t="s">
        <v>145</v>
      </c>
      <c r="I272" t="s">
        <v>119</v>
      </c>
      <c r="J272" t="s">
        <v>106</v>
      </c>
      <c r="K272" t="s">
        <v>527</v>
      </c>
      <c r="L272" t="s">
        <v>99</v>
      </c>
      <c r="M272" t="s">
        <v>407</v>
      </c>
      <c r="N272" t="s">
        <v>99</v>
      </c>
      <c r="O272" t="str">
        <f t="shared" si="4"/>
        <v>Minnesota Vikings</v>
      </c>
    </row>
    <row r="273" spans="1:16" x14ac:dyDescent="0.25">
      <c r="A273" t="s">
        <v>108</v>
      </c>
      <c r="B273" t="s">
        <v>148</v>
      </c>
      <c r="C273" t="s">
        <v>289</v>
      </c>
      <c r="D273" t="s">
        <v>144</v>
      </c>
      <c r="E273" t="s">
        <v>92</v>
      </c>
      <c r="F273" t="s">
        <v>177</v>
      </c>
      <c r="G273" t="s">
        <v>64</v>
      </c>
      <c r="H273" t="s">
        <v>145</v>
      </c>
      <c r="I273" t="s">
        <v>320</v>
      </c>
      <c r="J273" t="s">
        <v>104</v>
      </c>
      <c r="K273" t="s">
        <v>335</v>
      </c>
      <c r="L273" t="s">
        <v>99</v>
      </c>
      <c r="M273" t="s">
        <v>414</v>
      </c>
      <c r="N273" t="s">
        <v>99</v>
      </c>
      <c r="O273" t="str">
        <f t="shared" si="4"/>
        <v>Washington Commanders</v>
      </c>
    </row>
    <row r="274" spans="1:16" x14ac:dyDescent="0.25">
      <c r="A274" t="s">
        <v>108</v>
      </c>
      <c r="B274" t="s">
        <v>152</v>
      </c>
      <c r="C274" t="s">
        <v>290</v>
      </c>
      <c r="D274" t="s">
        <v>147</v>
      </c>
      <c r="E274" t="s">
        <v>78</v>
      </c>
      <c r="F274" t="s">
        <v>100</v>
      </c>
      <c r="G274" t="s">
        <v>90</v>
      </c>
      <c r="H274" t="s">
        <v>145</v>
      </c>
      <c r="I274" t="s">
        <v>417</v>
      </c>
      <c r="J274" t="s">
        <v>113</v>
      </c>
      <c r="K274" t="s">
        <v>528</v>
      </c>
      <c r="L274" t="s">
        <v>115</v>
      </c>
      <c r="M274" t="s">
        <v>506</v>
      </c>
      <c r="N274" t="s">
        <v>117</v>
      </c>
      <c r="O274" t="str">
        <f t="shared" si="4"/>
        <v>Detroit Lions</v>
      </c>
      <c r="P274">
        <v>42</v>
      </c>
    </row>
    <row r="275" spans="1:16" x14ac:dyDescent="0.25">
      <c r="A275" t="s">
        <v>95</v>
      </c>
      <c r="B275" t="s">
        <v>137</v>
      </c>
      <c r="C275" t="s">
        <v>58</v>
      </c>
      <c r="D275" t="s">
        <v>138</v>
      </c>
      <c r="E275" t="s">
        <v>59</v>
      </c>
      <c r="F275" t="s">
        <v>177</v>
      </c>
      <c r="G275" t="s">
        <v>60</v>
      </c>
      <c r="H275" t="s">
        <v>177</v>
      </c>
      <c r="I275" t="s">
        <v>97</v>
      </c>
      <c r="J275" t="s">
        <v>98</v>
      </c>
      <c r="K275" t="s">
        <v>139</v>
      </c>
      <c r="L275" t="s">
        <v>140</v>
      </c>
      <c r="M275" t="s">
        <v>141</v>
      </c>
      <c r="N275" t="s">
        <v>142</v>
      </c>
      <c r="O275" t="str">
        <f t="shared" si="4"/>
        <v>Winner/tie</v>
      </c>
    </row>
    <row r="276" spans="1:16" x14ac:dyDescent="0.25">
      <c r="A276" t="s">
        <v>126</v>
      </c>
      <c r="B276" t="s">
        <v>162</v>
      </c>
      <c r="C276" t="s">
        <v>529</v>
      </c>
      <c r="D276" t="s">
        <v>158</v>
      </c>
      <c r="E276" t="s">
        <v>65</v>
      </c>
      <c r="F276" t="s">
        <v>177</v>
      </c>
      <c r="G276" t="s">
        <v>74</v>
      </c>
      <c r="H276" t="s">
        <v>145</v>
      </c>
      <c r="I276" t="s">
        <v>364</v>
      </c>
      <c r="J276" t="s">
        <v>112</v>
      </c>
      <c r="K276" t="s">
        <v>329</v>
      </c>
      <c r="L276" t="s">
        <v>115</v>
      </c>
      <c r="M276" t="s">
        <v>208</v>
      </c>
      <c r="N276" t="s">
        <v>117</v>
      </c>
      <c r="O276" t="str">
        <f t="shared" si="4"/>
        <v>Baltimore Ravens</v>
      </c>
    </row>
    <row r="277" spans="1:16" x14ac:dyDescent="0.25">
      <c r="A277" t="s">
        <v>126</v>
      </c>
      <c r="B277" t="s">
        <v>162</v>
      </c>
      <c r="C277" t="s">
        <v>529</v>
      </c>
      <c r="D277" t="s">
        <v>160</v>
      </c>
      <c r="E277" t="s">
        <v>70</v>
      </c>
      <c r="F277" t="s">
        <v>100</v>
      </c>
      <c r="G277" t="s">
        <v>73</v>
      </c>
      <c r="H277" t="s">
        <v>145</v>
      </c>
      <c r="I277" t="s">
        <v>127</v>
      </c>
      <c r="J277" t="s">
        <v>108</v>
      </c>
      <c r="K277" t="s">
        <v>510</v>
      </c>
      <c r="L277" t="s">
        <v>117</v>
      </c>
      <c r="M277" t="s">
        <v>189</v>
      </c>
      <c r="N277" t="s">
        <v>99</v>
      </c>
      <c r="O277" t="str">
        <f t="shared" si="4"/>
        <v>Cincinnati Bengals</v>
      </c>
    </row>
    <row r="278" spans="1:16" x14ac:dyDescent="0.25">
      <c r="A278" t="s">
        <v>126</v>
      </c>
      <c r="B278" t="s">
        <v>148</v>
      </c>
      <c r="C278" t="s">
        <v>291</v>
      </c>
      <c r="D278" t="s">
        <v>149</v>
      </c>
      <c r="E278" t="s">
        <v>69</v>
      </c>
      <c r="F278" t="s">
        <v>100</v>
      </c>
      <c r="G278" t="s">
        <v>64</v>
      </c>
      <c r="H278" t="s">
        <v>145</v>
      </c>
      <c r="I278" t="s">
        <v>221</v>
      </c>
      <c r="J278" t="s">
        <v>340</v>
      </c>
      <c r="K278" t="s">
        <v>233</v>
      </c>
      <c r="L278" t="s">
        <v>115</v>
      </c>
      <c r="M278" t="s">
        <v>530</v>
      </c>
      <c r="N278" t="s">
        <v>99</v>
      </c>
      <c r="O278" t="str">
        <f t="shared" si="4"/>
        <v>Carolina Panthers</v>
      </c>
    </row>
    <row r="279" spans="1:16" x14ac:dyDescent="0.25">
      <c r="A279" t="s">
        <v>126</v>
      </c>
      <c r="B279" t="s">
        <v>148</v>
      </c>
      <c r="C279" t="s">
        <v>291</v>
      </c>
      <c r="D279" t="s">
        <v>149</v>
      </c>
      <c r="E279" t="s">
        <v>76</v>
      </c>
      <c r="F279" t="s">
        <v>177</v>
      </c>
      <c r="G279" t="s">
        <v>67</v>
      </c>
      <c r="H279" t="s">
        <v>145</v>
      </c>
      <c r="I279" t="s">
        <v>121</v>
      </c>
      <c r="J279" t="s">
        <v>109</v>
      </c>
      <c r="K279" t="s">
        <v>404</v>
      </c>
      <c r="L279" t="s">
        <v>99</v>
      </c>
      <c r="M279" t="s">
        <v>420</v>
      </c>
      <c r="N279" t="s">
        <v>115</v>
      </c>
      <c r="O279" t="str">
        <f t="shared" si="4"/>
        <v>New England Patriots</v>
      </c>
    </row>
    <row r="280" spans="1:16" x14ac:dyDescent="0.25">
      <c r="A280" t="s">
        <v>126</v>
      </c>
      <c r="B280" t="s">
        <v>148</v>
      </c>
      <c r="C280" t="s">
        <v>291</v>
      </c>
      <c r="D280" t="s">
        <v>149</v>
      </c>
      <c r="E280" t="s">
        <v>71</v>
      </c>
      <c r="F280" t="s">
        <v>100</v>
      </c>
      <c r="G280" t="s">
        <v>80</v>
      </c>
      <c r="H280" t="s">
        <v>145</v>
      </c>
      <c r="I280" t="s">
        <v>104</v>
      </c>
      <c r="J280" t="s">
        <v>116</v>
      </c>
      <c r="K280" t="s">
        <v>195</v>
      </c>
      <c r="L280" t="s">
        <v>117</v>
      </c>
      <c r="M280" t="s">
        <v>481</v>
      </c>
      <c r="N280" t="s">
        <v>117</v>
      </c>
      <c r="O280" t="str">
        <f t="shared" si="4"/>
        <v>Chicago Bears</v>
      </c>
    </row>
    <row r="281" spans="1:16" x14ac:dyDescent="0.25">
      <c r="A281" t="s">
        <v>126</v>
      </c>
      <c r="B281" t="s">
        <v>148</v>
      </c>
      <c r="C281" t="s">
        <v>291</v>
      </c>
      <c r="D281" t="s">
        <v>149</v>
      </c>
      <c r="E281" t="s">
        <v>66</v>
      </c>
      <c r="F281" t="s">
        <v>177</v>
      </c>
      <c r="G281" t="s">
        <v>83</v>
      </c>
      <c r="H281" t="s">
        <v>145</v>
      </c>
      <c r="I281" t="s">
        <v>123</v>
      </c>
      <c r="J281" t="s">
        <v>121</v>
      </c>
      <c r="K281" t="s">
        <v>531</v>
      </c>
      <c r="L281" t="s">
        <v>115</v>
      </c>
      <c r="M281" t="s">
        <v>445</v>
      </c>
      <c r="N281" t="s">
        <v>99</v>
      </c>
      <c r="O281" t="str">
        <f t="shared" si="4"/>
        <v>Indianapolis Colts</v>
      </c>
    </row>
    <row r="282" spans="1:16" x14ac:dyDescent="0.25">
      <c r="A282" t="s">
        <v>126</v>
      </c>
      <c r="B282" t="s">
        <v>148</v>
      </c>
      <c r="C282" t="s">
        <v>291</v>
      </c>
      <c r="D282" t="s">
        <v>149</v>
      </c>
      <c r="E282" t="s">
        <v>92</v>
      </c>
      <c r="F282" t="s">
        <v>100</v>
      </c>
      <c r="G282" t="s">
        <v>75</v>
      </c>
      <c r="H282" t="s">
        <v>145</v>
      </c>
      <c r="I282" t="s">
        <v>121</v>
      </c>
      <c r="J282" t="s">
        <v>127</v>
      </c>
      <c r="K282" t="s">
        <v>392</v>
      </c>
      <c r="L282" t="s">
        <v>99</v>
      </c>
      <c r="M282" t="s">
        <v>321</v>
      </c>
      <c r="N282" t="s">
        <v>115</v>
      </c>
      <c r="O282" t="str">
        <f t="shared" si="4"/>
        <v>Washington Commanders</v>
      </c>
    </row>
    <row r="283" spans="1:16" x14ac:dyDescent="0.25">
      <c r="A283" t="s">
        <v>126</v>
      </c>
      <c r="B283" t="s">
        <v>148</v>
      </c>
      <c r="C283" t="s">
        <v>291</v>
      </c>
      <c r="D283" t="s">
        <v>149</v>
      </c>
      <c r="E283" t="s">
        <v>68</v>
      </c>
      <c r="F283" t="s">
        <v>100</v>
      </c>
      <c r="G283" t="s">
        <v>72</v>
      </c>
      <c r="H283" t="s">
        <v>145</v>
      </c>
      <c r="I283" t="s">
        <v>121</v>
      </c>
      <c r="J283" t="s">
        <v>133</v>
      </c>
      <c r="K283" t="s">
        <v>352</v>
      </c>
      <c r="L283" t="s">
        <v>99</v>
      </c>
      <c r="M283" t="s">
        <v>510</v>
      </c>
      <c r="N283" t="s">
        <v>99</v>
      </c>
      <c r="O283" t="str">
        <f t="shared" si="4"/>
        <v>Houston Texans</v>
      </c>
    </row>
    <row r="284" spans="1:16" x14ac:dyDescent="0.25">
      <c r="A284" t="s">
        <v>126</v>
      </c>
      <c r="B284" t="s">
        <v>148</v>
      </c>
      <c r="C284" t="s">
        <v>291</v>
      </c>
      <c r="D284" t="s">
        <v>149</v>
      </c>
      <c r="E284" t="s">
        <v>91</v>
      </c>
      <c r="F284" t="s">
        <v>177</v>
      </c>
      <c r="G284" t="s">
        <v>87</v>
      </c>
      <c r="H284" t="s">
        <v>145</v>
      </c>
      <c r="I284" t="s">
        <v>119</v>
      </c>
      <c r="J284" t="s">
        <v>127</v>
      </c>
      <c r="K284" t="s">
        <v>316</v>
      </c>
      <c r="L284" t="s">
        <v>99</v>
      </c>
      <c r="M284" t="s">
        <v>376</v>
      </c>
      <c r="N284" t="s">
        <v>115</v>
      </c>
      <c r="O284" t="str">
        <f t="shared" si="4"/>
        <v>Tampa Bay Buccaneers</v>
      </c>
    </row>
    <row r="285" spans="1:16" x14ac:dyDescent="0.25">
      <c r="A285" t="s">
        <v>126</v>
      </c>
      <c r="B285" t="s">
        <v>148</v>
      </c>
      <c r="C285" t="s">
        <v>291</v>
      </c>
      <c r="D285" t="s">
        <v>149</v>
      </c>
      <c r="E285" t="s">
        <v>89</v>
      </c>
      <c r="F285" t="s">
        <v>177</v>
      </c>
      <c r="G285" t="s">
        <v>82</v>
      </c>
      <c r="H285" t="s">
        <v>145</v>
      </c>
      <c r="I285" t="s">
        <v>102</v>
      </c>
      <c r="J285" t="s">
        <v>114</v>
      </c>
      <c r="K285" t="s">
        <v>200</v>
      </c>
      <c r="L285" t="s">
        <v>115</v>
      </c>
      <c r="M285" t="s">
        <v>462</v>
      </c>
      <c r="N285" t="s">
        <v>99</v>
      </c>
      <c r="O285" t="str">
        <f t="shared" si="4"/>
        <v>Philadelphia Eagles</v>
      </c>
    </row>
    <row r="286" spans="1:16" x14ac:dyDescent="0.25">
      <c r="A286" t="s">
        <v>126</v>
      </c>
      <c r="B286" t="s">
        <v>148</v>
      </c>
      <c r="C286" t="s">
        <v>291</v>
      </c>
      <c r="D286" t="s">
        <v>151</v>
      </c>
      <c r="E286" t="s">
        <v>62</v>
      </c>
      <c r="F286" t="s">
        <v>177</v>
      </c>
      <c r="G286" t="s">
        <v>90</v>
      </c>
      <c r="H286" t="s">
        <v>145</v>
      </c>
      <c r="I286" t="s">
        <v>187</v>
      </c>
      <c r="J286" t="s">
        <v>104</v>
      </c>
      <c r="K286" t="s">
        <v>406</v>
      </c>
      <c r="L286" t="s">
        <v>115</v>
      </c>
      <c r="M286" t="s">
        <v>342</v>
      </c>
      <c r="N286" t="s">
        <v>105</v>
      </c>
      <c r="O286" t="str">
        <f t="shared" si="4"/>
        <v>Arizona Cardinals</v>
      </c>
    </row>
    <row r="287" spans="1:16" x14ac:dyDescent="0.25">
      <c r="A287" t="s">
        <v>126</v>
      </c>
      <c r="B287" t="s">
        <v>148</v>
      </c>
      <c r="C287" t="s">
        <v>291</v>
      </c>
      <c r="D287" t="s">
        <v>151</v>
      </c>
      <c r="E287" t="s">
        <v>77</v>
      </c>
      <c r="F287" t="s">
        <v>177</v>
      </c>
      <c r="G287" t="s">
        <v>61</v>
      </c>
      <c r="H287" t="s">
        <v>145</v>
      </c>
      <c r="I287" t="s">
        <v>340</v>
      </c>
      <c r="J287" t="s">
        <v>115</v>
      </c>
      <c r="K287" t="s">
        <v>532</v>
      </c>
      <c r="L287" t="s">
        <v>115</v>
      </c>
      <c r="M287" t="s">
        <v>533</v>
      </c>
      <c r="N287" t="s">
        <v>115</v>
      </c>
      <c r="O287" t="str">
        <f t="shared" si="4"/>
        <v>Denver Broncos</v>
      </c>
    </row>
    <row r="288" spans="1:16" x14ac:dyDescent="0.25">
      <c r="A288" t="s">
        <v>126</v>
      </c>
      <c r="B288" t="s">
        <v>148</v>
      </c>
      <c r="C288" t="s">
        <v>291</v>
      </c>
      <c r="D288" t="s">
        <v>151</v>
      </c>
      <c r="E288" t="s">
        <v>88</v>
      </c>
      <c r="F288" t="s">
        <v>177</v>
      </c>
      <c r="G288" t="s">
        <v>86</v>
      </c>
      <c r="H288" t="s">
        <v>145</v>
      </c>
      <c r="I288" t="s">
        <v>212</v>
      </c>
      <c r="J288" t="s">
        <v>102</v>
      </c>
      <c r="K288" t="s">
        <v>346</v>
      </c>
      <c r="L288" t="s">
        <v>99</v>
      </c>
      <c r="M288" t="s">
        <v>438</v>
      </c>
      <c r="N288" t="s">
        <v>130</v>
      </c>
      <c r="O288" t="str">
        <f t="shared" si="4"/>
        <v>New York Jets</v>
      </c>
    </row>
    <row r="289" spans="1:15" x14ac:dyDescent="0.25">
      <c r="A289" t="s">
        <v>126</v>
      </c>
      <c r="B289" t="s">
        <v>148</v>
      </c>
      <c r="C289" t="s">
        <v>291</v>
      </c>
      <c r="D289" t="s">
        <v>151</v>
      </c>
      <c r="E289" t="s">
        <v>79</v>
      </c>
      <c r="F289" t="s">
        <v>100</v>
      </c>
      <c r="G289" t="s">
        <v>84</v>
      </c>
      <c r="H289" t="s">
        <v>145</v>
      </c>
      <c r="I289" t="s">
        <v>113</v>
      </c>
      <c r="J289" t="s">
        <v>102</v>
      </c>
      <c r="K289" t="s">
        <v>464</v>
      </c>
      <c r="L289" t="s">
        <v>115</v>
      </c>
      <c r="M289" t="s">
        <v>347</v>
      </c>
      <c r="N289" t="s">
        <v>99</v>
      </c>
      <c r="O289" t="str">
        <f t="shared" si="4"/>
        <v>Los Angeles Chargers</v>
      </c>
    </row>
    <row r="290" spans="1:15" x14ac:dyDescent="0.25">
      <c r="A290" t="s">
        <v>126</v>
      </c>
      <c r="B290" t="s">
        <v>148</v>
      </c>
      <c r="C290" t="s">
        <v>291</v>
      </c>
      <c r="D290" t="s">
        <v>151</v>
      </c>
      <c r="E290" t="s">
        <v>81</v>
      </c>
      <c r="F290" t="s">
        <v>100</v>
      </c>
      <c r="G290" t="s">
        <v>85</v>
      </c>
      <c r="H290" t="s">
        <v>145</v>
      </c>
      <c r="I290" t="s">
        <v>320</v>
      </c>
      <c r="J290" t="s">
        <v>106</v>
      </c>
      <c r="K290" t="s">
        <v>412</v>
      </c>
      <c r="L290" t="s">
        <v>115</v>
      </c>
      <c r="M290" t="s">
        <v>230</v>
      </c>
      <c r="N290" t="s">
        <v>99</v>
      </c>
      <c r="O290" t="str">
        <f t="shared" si="4"/>
        <v>Seattle Seahawks</v>
      </c>
    </row>
    <row r="291" spans="1:15" x14ac:dyDescent="0.25">
      <c r="A291" t="s">
        <v>126</v>
      </c>
      <c r="B291" t="s">
        <v>148</v>
      </c>
      <c r="C291" t="s">
        <v>291</v>
      </c>
      <c r="D291" t="s">
        <v>144</v>
      </c>
      <c r="E291" t="s">
        <v>78</v>
      </c>
      <c r="F291" t="s">
        <v>177</v>
      </c>
      <c r="G291" t="s">
        <v>63</v>
      </c>
      <c r="H291" t="s">
        <v>145</v>
      </c>
      <c r="I291" t="s">
        <v>103</v>
      </c>
      <c r="J291" t="s">
        <v>107</v>
      </c>
      <c r="K291" t="s">
        <v>430</v>
      </c>
      <c r="L291" t="s">
        <v>117</v>
      </c>
      <c r="M291" t="s">
        <v>534</v>
      </c>
      <c r="N291" t="s">
        <v>115</v>
      </c>
      <c r="O291" t="str">
        <f t="shared" si="4"/>
        <v>Minnesota Vikings</v>
      </c>
    </row>
    <row r="292" spans="1:15" x14ac:dyDescent="0.25">
      <c r="A292" t="s">
        <v>177</v>
      </c>
      <c r="B292" t="s">
        <v>177</v>
      </c>
      <c r="C292" t="s">
        <v>535</v>
      </c>
      <c r="D292" t="s">
        <v>177</v>
      </c>
      <c r="E292" t="s">
        <v>177</v>
      </c>
      <c r="F292" t="s">
        <v>177</v>
      </c>
      <c r="G292" t="s">
        <v>177</v>
      </c>
      <c r="H292" t="s">
        <v>177</v>
      </c>
      <c r="I292" t="s">
        <v>177</v>
      </c>
      <c r="J292" t="s">
        <v>177</v>
      </c>
      <c r="K292" t="s">
        <v>177</v>
      </c>
      <c r="L292" t="s">
        <v>177</v>
      </c>
      <c r="M292" t="s">
        <v>177</v>
      </c>
      <c r="N292" t="s">
        <v>177</v>
      </c>
      <c r="O292" t="str">
        <f t="shared" si="4"/>
        <v>Tie</v>
      </c>
    </row>
    <row r="293" spans="1:15" x14ac:dyDescent="0.25">
      <c r="A293" t="s">
        <v>536</v>
      </c>
      <c r="B293" t="s">
        <v>162</v>
      </c>
      <c r="C293" t="s">
        <v>537</v>
      </c>
      <c r="D293" t="s">
        <v>158</v>
      </c>
      <c r="E293" t="s">
        <v>68</v>
      </c>
      <c r="F293" t="s">
        <v>177</v>
      </c>
      <c r="G293" t="s">
        <v>79</v>
      </c>
      <c r="H293" t="s">
        <v>145</v>
      </c>
      <c r="I293" t="s">
        <v>212</v>
      </c>
      <c r="J293" t="s">
        <v>124</v>
      </c>
      <c r="K293" t="s">
        <v>531</v>
      </c>
      <c r="L293" t="s">
        <v>105</v>
      </c>
      <c r="M293" t="s">
        <v>447</v>
      </c>
      <c r="N293" t="s">
        <v>130</v>
      </c>
      <c r="O293" t="str">
        <f t="shared" si="4"/>
        <v>Houston Texans</v>
      </c>
    </row>
    <row r="294" spans="1:15" x14ac:dyDescent="0.25">
      <c r="A294" t="s">
        <v>536</v>
      </c>
      <c r="B294" t="s">
        <v>162</v>
      </c>
      <c r="C294" t="s">
        <v>537</v>
      </c>
      <c r="D294" t="s">
        <v>160</v>
      </c>
      <c r="E294" t="s">
        <v>65</v>
      </c>
      <c r="F294" t="s">
        <v>177</v>
      </c>
      <c r="G294" t="s">
        <v>73</v>
      </c>
      <c r="H294" t="s">
        <v>145</v>
      </c>
      <c r="I294" t="s">
        <v>118</v>
      </c>
      <c r="J294" t="s">
        <v>133</v>
      </c>
      <c r="K294" t="s">
        <v>538</v>
      </c>
      <c r="L294" t="s">
        <v>115</v>
      </c>
      <c r="M294" t="s">
        <v>432</v>
      </c>
      <c r="N294" t="s">
        <v>115</v>
      </c>
      <c r="O294" t="str">
        <f t="shared" si="4"/>
        <v>Baltimore Ravens</v>
      </c>
    </row>
    <row r="295" spans="1:15" x14ac:dyDescent="0.25">
      <c r="A295" t="s">
        <v>536</v>
      </c>
      <c r="B295" t="s">
        <v>148</v>
      </c>
      <c r="C295" t="s">
        <v>539</v>
      </c>
      <c r="D295" t="s">
        <v>149</v>
      </c>
      <c r="E295" t="s">
        <v>67</v>
      </c>
      <c r="F295" t="s">
        <v>177</v>
      </c>
      <c r="G295" t="s">
        <v>77</v>
      </c>
      <c r="H295" t="s">
        <v>145</v>
      </c>
      <c r="I295" t="s">
        <v>103</v>
      </c>
      <c r="J295" t="s">
        <v>111</v>
      </c>
      <c r="K295" t="s">
        <v>540</v>
      </c>
      <c r="L295" t="s">
        <v>115</v>
      </c>
      <c r="M295" t="s">
        <v>195</v>
      </c>
      <c r="N295" t="s">
        <v>115</v>
      </c>
      <c r="O295" t="str">
        <f t="shared" si="4"/>
        <v>Denver Broncos</v>
      </c>
    </row>
    <row r="296" spans="1:15" x14ac:dyDescent="0.25">
      <c r="A296" t="s">
        <v>536</v>
      </c>
      <c r="B296" t="s">
        <v>148</v>
      </c>
      <c r="C296" t="s">
        <v>539</v>
      </c>
      <c r="D296" t="s">
        <v>158</v>
      </c>
      <c r="E296" t="s">
        <v>89</v>
      </c>
      <c r="F296" t="s">
        <v>177</v>
      </c>
      <c r="G296" t="s">
        <v>80</v>
      </c>
      <c r="H296" t="s">
        <v>145</v>
      </c>
      <c r="I296" t="s">
        <v>116</v>
      </c>
      <c r="J296" t="s">
        <v>112</v>
      </c>
      <c r="K296" t="s">
        <v>194</v>
      </c>
      <c r="L296" t="s">
        <v>115</v>
      </c>
      <c r="M296" t="s">
        <v>486</v>
      </c>
      <c r="N296" t="s">
        <v>130</v>
      </c>
      <c r="O296" t="str">
        <f t="shared" si="4"/>
        <v>Philadelphia Eagles</v>
      </c>
    </row>
    <row r="297" spans="1:15" x14ac:dyDescent="0.25">
      <c r="A297" t="s">
        <v>536</v>
      </c>
      <c r="B297" t="s">
        <v>148</v>
      </c>
      <c r="C297" t="s">
        <v>539</v>
      </c>
      <c r="D297" t="s">
        <v>160</v>
      </c>
      <c r="E297" t="s">
        <v>92</v>
      </c>
      <c r="F297" t="s">
        <v>100</v>
      </c>
      <c r="G297" t="s">
        <v>91</v>
      </c>
      <c r="H297" t="s">
        <v>145</v>
      </c>
      <c r="I297" t="s">
        <v>121</v>
      </c>
      <c r="J297" t="s">
        <v>102</v>
      </c>
      <c r="K297" t="s">
        <v>399</v>
      </c>
      <c r="L297" t="s">
        <v>115</v>
      </c>
      <c r="M297" t="s">
        <v>413</v>
      </c>
      <c r="N297" t="s">
        <v>99</v>
      </c>
      <c r="O297" t="str">
        <f t="shared" si="4"/>
        <v>Washington Commanders</v>
      </c>
    </row>
    <row r="298" spans="1:15" x14ac:dyDescent="0.25">
      <c r="A298" t="s">
        <v>536</v>
      </c>
      <c r="B298" t="s">
        <v>152</v>
      </c>
      <c r="C298" t="s">
        <v>541</v>
      </c>
      <c r="D298" t="s">
        <v>160</v>
      </c>
      <c r="E298" t="s">
        <v>85</v>
      </c>
      <c r="F298" t="s">
        <v>177</v>
      </c>
      <c r="G298" t="s">
        <v>63</v>
      </c>
      <c r="H298" t="s">
        <v>145</v>
      </c>
      <c r="I298" t="s">
        <v>119</v>
      </c>
      <c r="J298" t="s">
        <v>107</v>
      </c>
      <c r="K298" t="s">
        <v>376</v>
      </c>
      <c r="L298" t="s">
        <v>115</v>
      </c>
      <c r="M298" t="s">
        <v>392</v>
      </c>
      <c r="N298" t="s">
        <v>117</v>
      </c>
      <c r="O298" t="str">
        <f t="shared" si="4"/>
        <v>Minnesota Vikings</v>
      </c>
    </row>
    <row r="299" spans="1:15" x14ac:dyDescent="0.25">
      <c r="A299" t="s">
        <v>542</v>
      </c>
      <c r="B299" t="s">
        <v>162</v>
      </c>
      <c r="C299" t="s">
        <v>543</v>
      </c>
      <c r="D299" t="s">
        <v>158</v>
      </c>
      <c r="E299" t="s">
        <v>61</v>
      </c>
      <c r="F299" t="s">
        <v>177</v>
      </c>
      <c r="G299" t="s">
        <v>68</v>
      </c>
      <c r="H299" t="s">
        <v>145</v>
      </c>
      <c r="I299" t="s">
        <v>121</v>
      </c>
      <c r="J299" t="s">
        <v>133</v>
      </c>
      <c r="K299" t="s">
        <v>380</v>
      </c>
      <c r="L299" t="s">
        <v>115</v>
      </c>
      <c r="M299" t="s">
        <v>412</v>
      </c>
      <c r="N299" t="s">
        <v>115</v>
      </c>
      <c r="O299" t="str">
        <f t="shared" si="4"/>
        <v>Kansas City Chiefs</v>
      </c>
    </row>
    <row r="300" spans="1:15" x14ac:dyDescent="0.25">
      <c r="A300" t="s">
        <v>542</v>
      </c>
      <c r="B300" t="s">
        <v>162</v>
      </c>
      <c r="C300" t="s">
        <v>543</v>
      </c>
      <c r="D300" t="s">
        <v>160</v>
      </c>
      <c r="E300" t="s">
        <v>92</v>
      </c>
      <c r="F300" t="s">
        <v>100</v>
      </c>
      <c r="G300" t="s">
        <v>78</v>
      </c>
      <c r="H300" t="s">
        <v>145</v>
      </c>
      <c r="I300" t="s">
        <v>524</v>
      </c>
      <c r="J300" t="s">
        <v>103</v>
      </c>
      <c r="K300" t="s">
        <v>424</v>
      </c>
      <c r="L300" t="s">
        <v>115</v>
      </c>
      <c r="M300" t="s">
        <v>496</v>
      </c>
      <c r="N300" t="s">
        <v>132</v>
      </c>
      <c r="O300" t="str">
        <f t="shared" si="4"/>
        <v>Washington Commanders</v>
      </c>
    </row>
    <row r="301" spans="1:15" x14ac:dyDescent="0.25">
      <c r="A301" t="s">
        <v>542</v>
      </c>
      <c r="B301" t="s">
        <v>148</v>
      </c>
      <c r="C301" t="s">
        <v>544</v>
      </c>
      <c r="D301" t="s">
        <v>159</v>
      </c>
      <c r="E301" t="s">
        <v>89</v>
      </c>
      <c r="F301" t="s">
        <v>177</v>
      </c>
      <c r="G301" t="s">
        <v>85</v>
      </c>
      <c r="H301" t="s">
        <v>145</v>
      </c>
      <c r="I301" t="s">
        <v>118</v>
      </c>
      <c r="J301" t="s">
        <v>116</v>
      </c>
      <c r="K301" t="s">
        <v>399</v>
      </c>
      <c r="L301" t="s">
        <v>115</v>
      </c>
      <c r="M301" t="s">
        <v>456</v>
      </c>
      <c r="N301" t="s">
        <v>117</v>
      </c>
      <c r="O301" t="str">
        <f t="shared" si="4"/>
        <v>Philadelphia Eagles</v>
      </c>
    </row>
    <row r="302" spans="1:15" x14ac:dyDescent="0.25">
      <c r="A302" t="s">
        <v>542</v>
      </c>
      <c r="B302" t="s">
        <v>148</v>
      </c>
      <c r="C302" t="s">
        <v>544</v>
      </c>
      <c r="D302" t="s">
        <v>545</v>
      </c>
      <c r="E302" t="s">
        <v>67</v>
      </c>
      <c r="F302" t="s">
        <v>177</v>
      </c>
      <c r="G302" t="s">
        <v>65</v>
      </c>
      <c r="H302" t="s">
        <v>145</v>
      </c>
      <c r="I302" t="s">
        <v>119</v>
      </c>
      <c r="J302" t="s">
        <v>106</v>
      </c>
      <c r="K302" t="s">
        <v>479</v>
      </c>
      <c r="L302" t="s">
        <v>115</v>
      </c>
      <c r="M302" t="s">
        <v>429</v>
      </c>
      <c r="N302" t="s">
        <v>105</v>
      </c>
      <c r="O302" t="str">
        <f t="shared" si="4"/>
        <v>Buffalo Bills</v>
      </c>
    </row>
    <row r="303" spans="1:15" x14ac:dyDescent="0.25">
      <c r="A303" t="s">
        <v>546</v>
      </c>
      <c r="B303" t="s">
        <v>148</v>
      </c>
      <c r="C303" t="s">
        <v>547</v>
      </c>
      <c r="D303" t="s">
        <v>159</v>
      </c>
      <c r="E303" t="s">
        <v>92</v>
      </c>
      <c r="F303" t="s">
        <v>100</v>
      </c>
      <c r="G303" t="s">
        <v>89</v>
      </c>
      <c r="H303" t="s">
        <v>153</v>
      </c>
      <c r="I303" t="s">
        <v>177</v>
      </c>
      <c r="J303" t="s">
        <v>177</v>
      </c>
      <c r="K303" t="s">
        <v>177</v>
      </c>
      <c r="L303" t="s">
        <v>177</v>
      </c>
      <c r="M303" t="s">
        <v>177</v>
      </c>
      <c r="N303" t="s">
        <v>177</v>
      </c>
      <c r="O303" t="str">
        <f t="shared" si="4"/>
        <v>Tie</v>
      </c>
    </row>
    <row r="304" spans="1:15" x14ac:dyDescent="0.25">
      <c r="A304" t="s">
        <v>546</v>
      </c>
      <c r="B304" t="s">
        <v>148</v>
      </c>
      <c r="C304" t="s">
        <v>547</v>
      </c>
      <c r="D304" t="s">
        <v>545</v>
      </c>
      <c r="E304" t="s">
        <v>67</v>
      </c>
      <c r="F304" t="s">
        <v>100</v>
      </c>
      <c r="G304" t="s">
        <v>61</v>
      </c>
      <c r="H304" t="s">
        <v>153</v>
      </c>
      <c r="I304" t="s">
        <v>177</v>
      </c>
      <c r="J304" t="s">
        <v>177</v>
      </c>
      <c r="K304" t="s">
        <v>177</v>
      </c>
      <c r="L304" t="s">
        <v>177</v>
      </c>
      <c r="M304" t="s">
        <v>177</v>
      </c>
      <c r="N304" t="s">
        <v>177</v>
      </c>
      <c r="O304" t="str">
        <f t="shared" si="4"/>
        <v>Tie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71284-7676-4343-A42D-8C419AB5AA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Standings</vt:lpstr>
      <vt:lpstr>Scenarios</vt:lpstr>
      <vt:lpstr>Payouts</vt:lpstr>
      <vt:lpstr>main</vt:lpstr>
      <vt:lpstr>faves</vt:lpstr>
      <vt:lpstr>team names</vt:lpstr>
      <vt:lpstr>regularseason</vt:lpstr>
      <vt:lpstr>postseason</vt:lpstr>
      <vt:lpstr>Week-by-Week Games Table (2)</vt:lpstr>
      <vt:lpstr>NFL_Teams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Ice</dc:creator>
  <cp:keywords/>
  <dc:description/>
  <cp:lastModifiedBy>M J</cp:lastModifiedBy>
  <cp:revision/>
  <cp:lastPrinted>2025-09-10T01:29:54Z</cp:lastPrinted>
  <dcterms:created xsi:type="dcterms:W3CDTF">2019-10-24T06:07:18Z</dcterms:created>
  <dcterms:modified xsi:type="dcterms:W3CDTF">2025-12-07T22:34:06Z</dcterms:modified>
  <cp:category/>
  <cp:contentStatus/>
</cp:coreProperties>
</file>