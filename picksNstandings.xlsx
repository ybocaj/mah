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BA88A3772A7ADC/football pool/2025/"/>
    </mc:Choice>
  </mc:AlternateContent>
  <xr:revisionPtr revIDLastSave="2622" documentId="6_{3AA05069-F760-460F-9C99-3967D4AD584C}" xr6:coauthVersionLast="47" xr6:coauthVersionMax="47" xr10:uidLastSave="{5AA6DB31-783C-4DB4-8EFB-98A96A507928}"/>
  <bookViews>
    <workbookView xWindow="-120" yWindow="-120" windowWidth="29040" windowHeight="15720" xr2:uid="{6EA94E4B-0035-45A1-AE79-38B65AD6CDBD}"/>
  </bookViews>
  <sheets>
    <sheet name="standings" sheetId="2" r:id="rId1"/>
    <sheet name="picks" sheetId="1" r:id="rId2"/>
    <sheet name="team nam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3" l="1"/>
  <c r="AE140" i="1"/>
  <c r="AE142" i="1"/>
  <c r="AE144" i="1"/>
  <c r="AE146" i="1"/>
  <c r="AE148" i="1"/>
  <c r="AE150" i="1"/>
  <c r="AE152" i="1"/>
  <c r="AE154" i="1"/>
  <c r="AE138" i="1"/>
  <c r="AE136" i="1"/>
  <c r="AB145" i="1"/>
  <c r="AC145" i="1" s="1"/>
  <c r="AB147" i="1"/>
  <c r="AC147" i="1" s="1"/>
  <c r="AB149" i="1"/>
  <c r="AC149" i="1" s="1"/>
  <c r="AB151" i="1"/>
  <c r="AC151" i="1" s="1"/>
  <c r="AB153" i="1"/>
  <c r="AC153" i="1" s="1"/>
  <c r="AB155" i="1"/>
  <c r="AC155" i="1" s="1"/>
  <c r="AB143" i="1"/>
  <c r="AC143" i="1" s="1"/>
  <c r="AB141" i="1"/>
  <c r="AC141" i="1" s="1"/>
  <c r="AB139" i="1"/>
  <c r="AC139" i="1" s="1"/>
  <c r="AB137" i="1"/>
  <c r="AC137" i="1" s="1"/>
  <c r="AE89" i="1"/>
  <c r="AE91" i="1"/>
  <c r="AE93" i="1"/>
  <c r="AE95" i="1"/>
  <c r="AE97" i="1"/>
  <c r="AE99" i="1"/>
  <c r="AE101" i="1"/>
  <c r="AE103" i="1"/>
  <c r="AE87" i="1"/>
  <c r="AE85" i="1"/>
  <c r="AB90" i="1"/>
  <c r="AC90" i="1" s="1"/>
  <c r="AB92" i="1"/>
  <c r="AC92" i="1" s="1"/>
  <c r="AB94" i="1"/>
  <c r="AC94" i="1" s="1"/>
  <c r="AB96" i="1"/>
  <c r="AC96" i="1" s="1"/>
  <c r="AB98" i="1"/>
  <c r="AC98" i="1" s="1"/>
  <c r="AB100" i="1"/>
  <c r="AC100" i="1" s="1"/>
  <c r="AB102" i="1"/>
  <c r="AC102" i="1" s="1"/>
  <c r="AB104" i="1"/>
  <c r="AC104" i="1" s="1"/>
  <c r="AB88" i="1"/>
  <c r="AC88" i="1" s="1"/>
  <c r="AB86" i="1"/>
  <c r="AC86" i="1" s="1"/>
  <c r="AB42" i="1"/>
  <c r="AC42" i="1" s="1"/>
  <c r="AB44" i="1"/>
  <c r="AC44" i="1" s="1"/>
  <c r="AB46" i="1"/>
  <c r="AC46" i="1" s="1"/>
  <c r="AB48" i="1"/>
  <c r="AC48" i="1" s="1"/>
  <c r="AB50" i="1"/>
  <c r="AC50" i="1" s="1"/>
  <c r="AB40" i="1"/>
  <c r="AC40" i="1" s="1"/>
  <c r="AB38" i="1"/>
  <c r="AC38" i="1" s="1"/>
  <c r="AB36" i="1"/>
  <c r="AC36" i="1" s="1"/>
  <c r="AE41" i="1"/>
  <c r="AE43" i="1"/>
  <c r="AE45" i="1"/>
  <c r="AE47" i="1"/>
  <c r="AE49" i="1"/>
  <c r="AE39" i="1"/>
  <c r="AE37" i="1"/>
  <c r="AE35" i="1"/>
  <c r="AE33" i="1"/>
  <c r="AB34" i="1"/>
  <c r="AC34" i="1" s="1"/>
  <c r="AB32" i="1"/>
  <c r="AC32" i="1" s="1"/>
  <c r="AE31" i="1"/>
  <c r="B5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Z65" i="1" l="1"/>
  <c r="Z126" i="1"/>
  <c r="Z120" i="1"/>
  <c r="Z110" i="1"/>
  <c r="Z71" i="1"/>
  <c r="Z10" i="1"/>
  <c r="Z67" i="1"/>
  <c r="Z57" i="1"/>
  <c r="Z59" i="1"/>
  <c r="Z63" i="1"/>
  <c r="Z61" i="1"/>
  <c r="Z69" i="1"/>
  <c r="Z73" i="1"/>
  <c r="Z75" i="1"/>
  <c r="Z128" i="1"/>
  <c r="Z112" i="1"/>
  <c r="Z114" i="1"/>
  <c r="Z116" i="1"/>
  <c r="Z118" i="1"/>
  <c r="Z122" i="1"/>
  <c r="Z124" i="1"/>
  <c r="Z18" i="1"/>
  <c r="Z20" i="1"/>
  <c r="Z22" i="1"/>
  <c r="Z14" i="1"/>
  <c r="Z6" i="1"/>
  <c r="Z16" i="1"/>
  <c r="Z12" i="1"/>
  <c r="Z4" i="1"/>
  <c r="AC4" i="1" s="1"/>
  <c r="Z8" i="1"/>
  <c r="AG142" i="1" l="1"/>
  <c r="AI142" i="1" s="1"/>
  <c r="AM142" i="1" s="1"/>
  <c r="AC116" i="1"/>
  <c r="AG152" i="1"/>
  <c r="AI152" i="1" s="1"/>
  <c r="AM152" i="1" s="1"/>
  <c r="AC126" i="1"/>
  <c r="AG138" i="1"/>
  <c r="AI138" i="1" s="1"/>
  <c r="AM138" i="1" s="1"/>
  <c r="AC112" i="1"/>
  <c r="AG154" i="1"/>
  <c r="AI154" i="1" s="1"/>
  <c r="AM154" i="1" s="1"/>
  <c r="AC128" i="1"/>
  <c r="AG140" i="1"/>
  <c r="AI140" i="1" s="1"/>
  <c r="AM140" i="1" s="1"/>
  <c r="AC114" i="1"/>
  <c r="AG150" i="1"/>
  <c r="AI150" i="1" s="1"/>
  <c r="AM150" i="1" s="1"/>
  <c r="AC124" i="1"/>
  <c r="AG148" i="1"/>
  <c r="AI148" i="1" s="1"/>
  <c r="AM148" i="1" s="1"/>
  <c r="AC122" i="1"/>
  <c r="AG136" i="1"/>
  <c r="AI136" i="1" s="1"/>
  <c r="AM136" i="1" s="1"/>
  <c r="AC110" i="1"/>
  <c r="AG144" i="1"/>
  <c r="AI144" i="1" s="1"/>
  <c r="AM144" i="1" s="1"/>
  <c r="AC118" i="1"/>
  <c r="AG146" i="1"/>
  <c r="AI146" i="1" s="1"/>
  <c r="AM146" i="1" s="1"/>
  <c r="AC120" i="1"/>
  <c r="AG95" i="1"/>
  <c r="AI95" i="1" s="1"/>
  <c r="AM95" i="1" s="1"/>
  <c r="AC67" i="1"/>
  <c r="AG103" i="1"/>
  <c r="AI103" i="1" s="1"/>
  <c r="AM103" i="1" s="1"/>
  <c r="AC75" i="1"/>
  <c r="AG99" i="1"/>
  <c r="AI99" i="1" s="1"/>
  <c r="AM99" i="1" s="1"/>
  <c r="AC71" i="1"/>
  <c r="AG97" i="1"/>
  <c r="AI97" i="1" s="1"/>
  <c r="AM97" i="1" s="1"/>
  <c r="AC69" i="1"/>
  <c r="AG85" i="1"/>
  <c r="AI85" i="1" s="1"/>
  <c r="AM85" i="1" s="1"/>
  <c r="AC57" i="1"/>
  <c r="AG101" i="1"/>
  <c r="AI101" i="1" s="1"/>
  <c r="AM101" i="1" s="1"/>
  <c r="AC73" i="1"/>
  <c r="AG89" i="1"/>
  <c r="AI89" i="1" s="1"/>
  <c r="AM89" i="1" s="1"/>
  <c r="AC61" i="1"/>
  <c r="AG91" i="1"/>
  <c r="AI91" i="1" s="1"/>
  <c r="AM91" i="1" s="1"/>
  <c r="AC63" i="1"/>
  <c r="AG87" i="1"/>
  <c r="AI87" i="1" s="1"/>
  <c r="AM87" i="1" s="1"/>
  <c r="AC59" i="1"/>
  <c r="AG93" i="1"/>
  <c r="AI93" i="1" s="1"/>
  <c r="AM93" i="1" s="1"/>
  <c r="AC65" i="1"/>
  <c r="AG49" i="1"/>
  <c r="AI49" i="1" s="1"/>
  <c r="AM49" i="1" s="1"/>
  <c r="AC22" i="1"/>
  <c r="AG47" i="1"/>
  <c r="AI47" i="1" s="1"/>
  <c r="C10" i="2" s="1"/>
  <c r="AC20" i="1"/>
  <c r="AG35" i="1"/>
  <c r="AI35" i="1" s="1"/>
  <c r="C4" i="2" s="1"/>
  <c r="AC8" i="1"/>
  <c r="AG45" i="1"/>
  <c r="AI45" i="1" s="1"/>
  <c r="AM45" i="1" s="1"/>
  <c r="AC18" i="1"/>
  <c r="AG37" i="1"/>
  <c r="AI37" i="1" s="1"/>
  <c r="C5" i="2" s="1"/>
  <c r="AC10" i="1"/>
  <c r="AG39" i="1"/>
  <c r="AI39" i="1" s="1"/>
  <c r="C6" i="2" s="1"/>
  <c r="AC12" i="1"/>
  <c r="AG43" i="1"/>
  <c r="AI43" i="1" s="1"/>
  <c r="C8" i="2" s="1"/>
  <c r="AC16" i="1"/>
  <c r="AG33" i="1"/>
  <c r="AI33" i="1" s="1"/>
  <c r="AM33" i="1" s="1"/>
  <c r="AC6" i="1"/>
  <c r="AG41" i="1"/>
  <c r="AI41" i="1" s="1"/>
  <c r="AM41" i="1" s="1"/>
  <c r="AC14" i="1"/>
  <c r="AG31" i="1"/>
  <c r="AI31" i="1" s="1"/>
  <c r="C2" i="2" s="1"/>
  <c r="C24" i="2" l="1"/>
  <c r="C31" i="2"/>
  <c r="C25" i="2"/>
  <c r="C21" i="2"/>
  <c r="C19" i="2"/>
  <c r="C17" i="2"/>
  <c r="C11" i="2"/>
  <c r="AM47" i="1"/>
  <c r="C23" i="2"/>
  <c r="C13" i="2"/>
  <c r="C20" i="2"/>
  <c r="AM39" i="1"/>
  <c r="AM43" i="1"/>
  <c r="C27" i="2"/>
  <c r="C26" i="2"/>
  <c r="C22" i="2"/>
  <c r="C30" i="2"/>
  <c r="C28" i="2"/>
  <c r="C29" i="2"/>
  <c r="C18" i="2"/>
  <c r="C15" i="2"/>
  <c r="C12" i="2"/>
  <c r="C14" i="2"/>
  <c r="C16" i="2"/>
  <c r="C9" i="2"/>
  <c r="C7" i="2"/>
  <c r="AM35" i="1"/>
  <c r="C3" i="2"/>
  <c r="AM37" i="1"/>
  <c r="AM31" i="1"/>
  <c r="E2" i="2" l="1" a="1"/>
  <c r="E2" i="2" s="1"/>
  <c r="G32" i="2" l="1"/>
  <c r="G3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<sst xmlns="http://schemas.openxmlformats.org/spreadsheetml/2006/main" count="2090" uniqueCount="201">
  <si>
    <t>POS</t>
  </si>
  <si>
    <t>Participant</t>
  </si>
  <si>
    <t>Score</t>
  </si>
  <si>
    <t>Lori Lynn</t>
  </si>
  <si>
    <t>SJay</t>
  </si>
  <si>
    <t>Bootsie</t>
  </si>
  <si>
    <t>Colby</t>
  </si>
  <si>
    <t>Emjay</t>
  </si>
  <si>
    <t>Shelley</t>
  </si>
  <si>
    <t>Brian</t>
  </si>
  <si>
    <t>Bloomers</t>
  </si>
  <si>
    <t>Tom H</t>
  </si>
  <si>
    <t>Karen</t>
  </si>
  <si>
    <t>Denise</t>
  </si>
  <si>
    <t>Frank</t>
  </si>
  <si>
    <t>Tom C</t>
  </si>
  <si>
    <t>Carrie</t>
  </si>
  <si>
    <t>Al</t>
  </si>
  <si>
    <t>Kaleb</t>
  </si>
  <si>
    <t>Robyn</t>
  </si>
  <si>
    <t>Kyle</t>
  </si>
  <si>
    <t>Dave C</t>
  </si>
  <si>
    <t>Theresa</t>
  </si>
  <si>
    <t>Lisa</t>
  </si>
  <si>
    <t>John</t>
  </si>
  <si>
    <t>Forrest</t>
  </si>
  <si>
    <t>Jesse</t>
  </si>
  <si>
    <t>Red Wing</t>
  </si>
  <si>
    <t>William</t>
  </si>
  <si>
    <t>Joe</t>
  </si>
  <si>
    <t>Grant</t>
  </si>
  <si>
    <t>Zack</t>
  </si>
  <si>
    <t>Chrissy</t>
  </si>
  <si>
    <t>Name</t>
  </si>
  <si>
    <t>SEPT</t>
  </si>
  <si>
    <t>OCT</t>
  </si>
  <si>
    <t>NOV</t>
  </si>
  <si>
    <t>DEC</t>
  </si>
  <si>
    <t>JAN</t>
  </si>
  <si>
    <t>Totals</t>
  </si>
  <si>
    <t>tbd</t>
  </si>
  <si>
    <t>Gm#</t>
  </si>
  <si>
    <t>PHI</t>
  </si>
  <si>
    <t>KC</t>
  </si>
  <si>
    <t>MIN</t>
  </si>
  <si>
    <t>LAR</t>
  </si>
  <si>
    <t>BAL</t>
  </si>
  <si>
    <t>DEN</t>
  </si>
  <si>
    <t>IND</t>
  </si>
  <si>
    <t>PIT</t>
  </si>
  <si>
    <t>HOU</t>
  </si>
  <si>
    <t>TB</t>
  </si>
  <si>
    <t>NYG</t>
  </si>
  <si>
    <t>BUF</t>
  </si>
  <si>
    <t>NYJ</t>
  </si>
  <si>
    <t>JAX</t>
  </si>
  <si>
    <t>DET</t>
  </si>
  <si>
    <t>DAL</t>
  </si>
  <si>
    <t>SEA</t>
  </si>
  <si>
    <t>LAC</t>
  </si>
  <si>
    <t>CHI</t>
  </si>
  <si>
    <t>NE</t>
  </si>
  <si>
    <t>ARI</t>
  </si>
  <si>
    <t>WAS</t>
  </si>
  <si>
    <t>TEN</t>
  </si>
  <si>
    <t>SF</t>
  </si>
  <si>
    <t>Boots</t>
  </si>
  <si>
    <t>GB</t>
  </si>
  <si>
    <t>LV</t>
  </si>
  <si>
    <t>Me</t>
  </si>
  <si>
    <t>NO</t>
  </si>
  <si>
    <t>MIA</t>
  </si>
  <si>
    <t>ATL</t>
  </si>
  <si>
    <t>CAR</t>
  </si>
  <si>
    <t>Tom</t>
  </si>
  <si>
    <t>CIN</t>
  </si>
  <si>
    <t>Winners</t>
  </si>
  <si>
    <t>Philadelphia Eagles</t>
  </si>
  <si>
    <t>Los Angeles Chargers</t>
  </si>
  <si>
    <t>Minnesota Vikings</t>
  </si>
  <si>
    <t>Los Angeles Rams</t>
  </si>
  <si>
    <t>NAME</t>
  </si>
  <si>
    <t>Divisional winners (2 pts each)</t>
  </si>
  <si>
    <t>Wildcard teams (3 pts each)</t>
  </si>
  <si>
    <t>Superbowl (3 pts)</t>
  </si>
  <si>
    <t>Superbowl
Champ 
(4 pts)</t>
  </si>
  <si>
    <t>Playoffs Total</t>
  </si>
  <si>
    <t>Regular Season Total</t>
  </si>
  <si>
    <t>TOTALITY</t>
  </si>
  <si>
    <t>Max Score</t>
  </si>
  <si>
    <t>AFC</t>
  </si>
  <si>
    <t>NFC</t>
  </si>
  <si>
    <t>Notes</t>
  </si>
  <si>
    <t>E</t>
  </si>
  <si>
    <t>N</t>
  </si>
  <si>
    <t>S</t>
  </si>
  <si>
    <t>W</t>
  </si>
  <si>
    <t>CLE</t>
  </si>
  <si>
    <t>AL</t>
  </si>
  <si>
    <t>Lisa B</t>
  </si>
  <si>
    <t>full team names to be used for winners on rows 25, 74, and 123 on main</t>
  </si>
  <si>
    <t>Arizona  Cardinals</t>
  </si>
  <si>
    <t>Atlanta Falcons</t>
  </si>
  <si>
    <t>Baltimore Ravens</t>
  </si>
  <si>
    <t>Buffalo Bills</t>
  </si>
  <si>
    <t>Carolina Panthers</t>
  </si>
  <si>
    <t>Chicago Bears</t>
  </si>
  <si>
    <t>Cincinnati Bengals</t>
  </si>
  <si>
    <t>Cleveland Browns</t>
  </si>
  <si>
    <t>Dallas Cowboys</t>
  </si>
  <si>
    <t>Denver Broncos</t>
  </si>
  <si>
    <t>Detroit Lions</t>
  </si>
  <si>
    <t>Green Bay Packers</t>
  </si>
  <si>
    <t>Houston Texans</t>
  </si>
  <si>
    <t>Indianapolis Colts</t>
  </si>
  <si>
    <t>Jacksonville Jaguars</t>
  </si>
  <si>
    <t>Kansas City Chiefs</t>
  </si>
  <si>
    <t>Las Vegas Raiders</t>
  </si>
  <si>
    <t>Miami Dolphins</t>
  </si>
  <si>
    <t>New England Patriots</t>
  </si>
  <si>
    <t>New Orleans Saints</t>
  </si>
  <si>
    <t>New York Giants</t>
  </si>
  <si>
    <t>New York Jets</t>
  </si>
  <si>
    <t>Pittsburgh Steelers</t>
  </si>
  <si>
    <t>San Francisco 49ers</t>
  </si>
  <si>
    <t>Seattle Seahawks</t>
  </si>
  <si>
    <t>Tampa Bay Buccaneers</t>
  </si>
  <si>
    <t>Tennessee Titans</t>
  </si>
  <si>
    <t>Washington Commanders</t>
  </si>
  <si>
    <t>X</t>
  </si>
  <si>
    <t>Eliminated</t>
  </si>
  <si>
    <t>Median score</t>
  </si>
  <si>
    <t>Average score</t>
  </si>
  <si>
    <t>PR</t>
  </si>
  <si>
    <t>TPP</t>
  </si>
  <si>
    <t>TPR</t>
  </si>
  <si>
    <t>+/-</t>
  </si>
  <si>
    <t>tpp</t>
  </si>
  <si>
    <t>SB</t>
  </si>
  <si>
    <t>+2</t>
  </si>
  <si>
    <t>-2</t>
  </si>
  <si>
    <t>-3</t>
  </si>
  <si>
    <t>-6</t>
  </si>
  <si>
    <t>-4</t>
  </si>
  <si>
    <t>+6</t>
  </si>
  <si>
    <t>+5</t>
  </si>
  <si>
    <t>-5</t>
  </si>
  <si>
    <t>-8</t>
  </si>
  <si>
    <t>DAVE C - 35</t>
  </si>
  <si>
    <t>KYLE - 35</t>
  </si>
  <si>
    <t>JOE - 35</t>
  </si>
  <si>
    <t>+4</t>
  </si>
  <si>
    <t>-1</t>
  </si>
  <si>
    <t>hou</t>
  </si>
  <si>
    <t>lac</t>
  </si>
  <si>
    <t>buf</t>
  </si>
  <si>
    <t>lar</t>
  </si>
  <si>
    <t>gb</t>
  </si>
  <si>
    <t>sf</t>
  </si>
  <si>
    <t>-15</t>
  </si>
  <si>
    <t>-10</t>
  </si>
  <si>
    <t>even</t>
  </si>
  <si>
    <t>-16</t>
  </si>
  <si>
    <t>-11</t>
  </si>
  <si>
    <t>+3</t>
  </si>
  <si>
    <t>+11</t>
  </si>
  <si>
    <t>+18</t>
  </si>
  <si>
    <t>12th to 3rd to 13th</t>
  </si>
  <si>
    <t>15th to 9th to 25th</t>
  </si>
  <si>
    <t>29th to 16th to 22nd</t>
  </si>
  <si>
    <t>23rd to 16th to 5th</t>
  </si>
  <si>
    <t>up from 24th</t>
  </si>
  <si>
    <t>DONE - 11</t>
  </si>
  <si>
    <t>DONE - 21</t>
  </si>
  <si>
    <t>DONE - 17</t>
  </si>
  <si>
    <t>DONE - 18</t>
  </si>
  <si>
    <t>DONE - 16</t>
  </si>
  <si>
    <t>DONE - 19</t>
  </si>
  <si>
    <t>DONE - 26</t>
  </si>
  <si>
    <t>DONE - 20</t>
  </si>
  <si>
    <t>BILLS ATW DETROIT OUT</t>
  </si>
  <si>
    <t>DONE</t>
  </si>
  <si>
    <t>BAL OVER PHI</t>
  </si>
  <si>
    <t>KC OVER PHI</t>
  </si>
  <si>
    <t>BUF OVER PHI</t>
  </si>
  <si>
    <t>SF OVER BAL</t>
  </si>
  <si>
    <t>BUF OVER SEA</t>
  </si>
  <si>
    <t>SF OVER KC</t>
  </si>
  <si>
    <t>BUF OVER DET</t>
  </si>
  <si>
    <t>PHI OVER BAL</t>
  </si>
  <si>
    <t>BUF OVER KC/DET</t>
  </si>
  <si>
    <t>BUF OVER LAR</t>
  </si>
  <si>
    <t>LAC OVER PHI</t>
  </si>
  <si>
    <t>BAL OVER DET</t>
  </si>
  <si>
    <t>TEN OVER CHI</t>
  </si>
  <si>
    <t>LAR OVER KC</t>
  </si>
  <si>
    <t>LAC OVER GB</t>
  </si>
  <si>
    <t>SF OVER BUF</t>
  </si>
  <si>
    <t>Eliminated, not done</t>
  </si>
  <si>
    <t>2ND PLACE</t>
  </si>
  <si>
    <t>1ST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</si>
</sst>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13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sz val="28"/>
      <color theme="1"/>
      <name val="Aptos Narrow"/>
      <family val="2"/>
      <scheme val="minor"/>
    </font>
    <font>
      <sz val="16"/>
      <color theme="1"/>
      <name val="Times New Roman"/>
      <family val="1"/>
    </font>
    <font>
      <sz val="1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Times New Roman"/>
      <family val="1"/>
    </font>
    <font>
      <sz val="8"/>
      <color theme="1"/>
      <name val="Times New Roman"/>
      <family val="1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lightGray">
        <bgColor indexed="9"/>
      </patternFill>
    </fill>
    <fill>
      <patternFill patternType="solid">
        <fgColor indexed="9"/>
        <bgColor theme="0"/>
      </patternFill>
    </fill>
    <fill>
      <patternFill patternType="gray0625">
        <bgColor indexed="9"/>
      </patternFill>
    </fill>
    <fill>
      <patternFill patternType="gray06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6EFCE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FF00"/>
        <bgColor indexed="64"/>
      </patternFill>
    </fill>
  </fills>
  <borders count="7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auto="1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0" fillId="10" borderId="0" applyNumberFormat="0" applyBorder="0" applyAlignment="0" applyProtection="0"/>
    <xf numFmtId="0" fontId="19" fillId="11" borderId="0" applyNumberFormat="0" applyBorder="0" applyAlignment="0" applyProtection="0"/>
  </cellStyleXfs>
  <cellXfs count="320">
    <xf numFmtId="0" fontId="0" fillId="0" borderId="0" xfId="0"/>
    <xf numFmtId="0" fontId="4" fillId="3" borderId="2" xfId="0" applyFont="1" applyFill="1" applyBorder="1" applyProtection="1">
      <protection locked="0"/>
    </xf>
    <xf numFmtId="49" fontId="4" fillId="3" borderId="2" xfId="0" applyNumberFormat="1" applyFont="1" applyFill="1" applyBorder="1" applyProtection="1">
      <protection locked="0"/>
    </xf>
    <xf numFmtId="0" fontId="4" fillId="3" borderId="3" xfId="0" applyFont="1" applyFill="1" applyBorder="1" applyProtection="1"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49" fontId="4" fillId="3" borderId="3" xfId="0" applyNumberFormat="1" applyFont="1" applyFill="1" applyBorder="1" applyAlignment="1" applyProtection="1">
      <alignment horizontal="center"/>
      <protection locked="0"/>
    </xf>
    <xf numFmtId="49" fontId="4" fillId="3" borderId="3" xfId="0" applyNumberFormat="1" applyFont="1" applyFill="1" applyBorder="1" applyProtection="1">
      <protection locked="0"/>
    </xf>
    <xf numFmtId="0" fontId="4" fillId="3" borderId="7" xfId="0" applyFont="1" applyFill="1" applyBorder="1" applyAlignment="1" applyProtection="1">
      <alignment horizontal="center"/>
      <protection locked="0"/>
    </xf>
    <xf numFmtId="0" fontId="4" fillId="3" borderId="8" xfId="0" applyFont="1" applyFill="1" applyBorder="1" applyAlignment="1" applyProtection="1">
      <alignment horizontal="center"/>
      <protection locked="0"/>
    </xf>
    <xf numFmtId="0" fontId="4" fillId="3" borderId="9" xfId="0" applyFont="1" applyFill="1" applyBorder="1" applyAlignment="1" applyProtection="1">
      <alignment horizontal="center"/>
      <protection locked="0"/>
    </xf>
    <xf numFmtId="0" fontId="4" fillId="3" borderId="10" xfId="0" applyFont="1" applyFill="1" applyBorder="1" applyAlignment="1" applyProtection="1">
      <alignment horizontal="center"/>
      <protection locked="0"/>
    </xf>
    <xf numFmtId="0" fontId="4" fillId="3" borderId="11" xfId="0" applyFont="1" applyFill="1" applyBorder="1" applyAlignment="1" applyProtection="1">
      <alignment horizontal="center"/>
      <protection locked="0"/>
    </xf>
    <xf numFmtId="0" fontId="4" fillId="3" borderId="12" xfId="0" applyFont="1" applyFill="1" applyBorder="1" applyAlignment="1" applyProtection="1">
      <alignment horizontal="center"/>
      <protection locked="0"/>
    </xf>
    <xf numFmtId="0" fontId="4" fillId="3" borderId="13" xfId="0" applyFont="1" applyFill="1" applyBorder="1" applyAlignment="1" applyProtection="1">
      <alignment horizontal="center"/>
      <protection locked="0"/>
    </xf>
    <xf numFmtId="0" fontId="3" fillId="0" borderId="16" xfId="0" applyFont="1" applyBorder="1" applyAlignment="1" applyProtection="1">
      <alignment horizontal="right"/>
      <protection locked="0"/>
    </xf>
    <xf numFmtId="0" fontId="6" fillId="0" borderId="17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center"/>
      <protection locked="0"/>
    </xf>
    <xf numFmtId="0" fontId="6" fillId="0" borderId="19" xfId="0" applyFont="1" applyBorder="1" applyAlignment="1" applyProtection="1">
      <alignment horizontal="center"/>
      <protection locked="0"/>
    </xf>
    <xf numFmtId="0" fontId="6" fillId="0" borderId="20" xfId="0" applyFont="1" applyBorder="1" applyAlignment="1" applyProtection="1">
      <alignment horizontal="center"/>
      <protection locked="0"/>
    </xf>
    <xf numFmtId="0" fontId="4" fillId="5" borderId="7" xfId="0" applyFont="1" applyFill="1" applyBorder="1" applyAlignment="1" applyProtection="1">
      <alignment horizontal="center"/>
      <protection locked="0"/>
    </xf>
    <xf numFmtId="0" fontId="4" fillId="5" borderId="12" xfId="0" applyFont="1" applyFill="1" applyBorder="1" applyAlignment="1" applyProtection="1">
      <alignment horizontal="center"/>
      <protection locked="0"/>
    </xf>
    <xf numFmtId="0" fontId="4" fillId="6" borderId="12" xfId="0" applyFont="1" applyFill="1" applyBorder="1" applyAlignment="1" applyProtection="1">
      <alignment horizontal="center"/>
      <protection locked="0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4" fillId="5" borderId="10" xfId="0" applyFont="1" applyFill="1" applyBorder="1" applyAlignment="1" applyProtection="1">
      <alignment horizontal="center"/>
      <protection locked="0"/>
    </xf>
    <xf numFmtId="0" fontId="3" fillId="0" borderId="30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center"/>
      <protection locked="0"/>
    </xf>
    <xf numFmtId="0" fontId="8" fillId="0" borderId="33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8" fillId="0" borderId="0" xfId="0" applyFont="1" applyAlignment="1" applyProtection="1">
      <alignment horizontal="center"/>
      <protection locked="0"/>
    </xf>
    <xf numFmtId="0" fontId="2" fillId="0" borderId="6" xfId="0" applyFont="1" applyBorder="1" applyAlignment="1">
      <alignment horizontal="center"/>
    </xf>
    <xf numFmtId="0" fontId="2" fillId="0" borderId="34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42" xfId="0" applyFont="1" applyBorder="1"/>
    <xf numFmtId="0" fontId="0" fillId="0" borderId="6" xfId="0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51" xfId="0" applyFont="1" applyBorder="1"/>
    <xf numFmtId="0" fontId="2" fillId="0" borderId="46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center" vertical="center"/>
    </xf>
    <xf numFmtId="0" fontId="0" fillId="0" borderId="6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6" xfId="0" applyBorder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/>
    </xf>
    <xf numFmtId="0" fontId="9" fillId="0" borderId="0" xfId="0" applyFont="1" applyAlignment="1" applyProtection="1">
      <alignment horizontal="center"/>
      <protection locked="0"/>
    </xf>
    <xf numFmtId="0" fontId="13" fillId="0" borderId="3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7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left" vertical="center"/>
    </xf>
    <xf numFmtId="0" fontId="12" fillId="7" borderId="30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left" vertical="center"/>
    </xf>
    <xf numFmtId="0" fontId="15" fillId="0" borderId="30" xfId="0" applyFont="1" applyBorder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 wrapText="1"/>
    </xf>
    <xf numFmtId="0" fontId="17" fillId="8" borderId="0" xfId="0" applyFont="1" applyFill="1" applyAlignment="1" applyProtection="1">
      <alignment horizontal="center" vertical="center"/>
      <protection locked="0"/>
    </xf>
    <xf numFmtId="0" fontId="17" fillId="9" borderId="0" xfId="0" applyFont="1" applyFill="1" applyAlignment="1" applyProtection="1">
      <alignment horizontal="center" vertical="center"/>
      <protection locked="0"/>
    </xf>
    <xf numFmtId="0" fontId="18" fillId="8" borderId="0" xfId="0" applyFont="1" applyFill="1" applyAlignment="1">
      <alignment horizontal="center" vertical="center"/>
    </xf>
    <xf numFmtId="49" fontId="4" fillId="3" borderId="2" xfId="0" applyNumberFormat="1" applyFont="1" applyFill="1" applyBorder="1" applyAlignment="1" applyProtection="1">
      <alignment horizontal="center"/>
      <protection locked="0"/>
    </xf>
    <xf numFmtId="0" fontId="3" fillId="4" borderId="25" xfId="0" applyFont="1" applyFill="1" applyBorder="1" applyAlignment="1" applyProtection="1">
      <alignment horizontal="left" vertical="center"/>
      <protection locked="0"/>
    </xf>
    <xf numFmtId="0" fontId="3" fillId="4" borderId="29" xfId="0" applyFont="1" applyFill="1" applyBorder="1" applyAlignment="1" applyProtection="1">
      <alignment horizontal="left" vertical="center"/>
      <protection locked="0"/>
    </xf>
    <xf numFmtId="0" fontId="3" fillId="4" borderId="29" xfId="0" applyFont="1" applyFill="1" applyBorder="1" applyAlignment="1" applyProtection="1">
      <alignment horizontal="center" vertical="center"/>
      <protection locked="0"/>
    </xf>
    <xf numFmtId="0" fontId="3" fillId="4" borderId="25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0" borderId="47" xfId="0" applyBorder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8" fillId="0" borderId="31" xfId="0" applyFont="1" applyBorder="1" applyAlignment="1" applyProtection="1">
      <alignment horizontal="right" vertical="center"/>
      <protection locked="0"/>
    </xf>
    <xf numFmtId="0" fontId="8" fillId="0" borderId="31" xfId="0" applyFont="1" applyBorder="1" applyAlignment="1" applyProtection="1">
      <alignment horizontal="right"/>
      <protection locked="0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6" xfId="0" applyBorder="1" applyAlignment="1">
      <alignment horizontal="left"/>
    </xf>
    <xf numFmtId="0" fontId="0" fillId="0" borderId="51" xfId="0" applyBorder="1" applyAlignment="1">
      <alignment horizontal="left"/>
    </xf>
    <xf numFmtId="0" fontId="0" fillId="0" borderId="46" xfId="0" applyBorder="1" applyAlignment="1">
      <alignment horizontal="left"/>
    </xf>
    <xf numFmtId="49" fontId="0" fillId="0" borderId="0" xfId="0" applyNumberFormat="1"/>
    <xf numFmtId="49" fontId="12" fillId="7" borderId="30" xfId="0" applyNumberFormat="1" applyFont="1" applyFill="1" applyBorder="1" applyAlignment="1">
      <alignment horizontal="center" vertical="center"/>
    </xf>
    <xf numFmtId="0" fontId="19" fillId="0" borderId="0" xfId="0" applyFont="1"/>
    <xf numFmtId="0" fontId="0" fillId="0" borderId="0" xfId="0" applyAlignment="1">
      <alignment vertical="center" wrapText="1"/>
    </xf>
    <xf numFmtId="0" fontId="1" fillId="2" borderId="0" xfId="1"/>
    <xf numFmtId="0" fontId="1" fillId="2" borderId="29" xfId="1" applyBorder="1" applyAlignment="1">
      <alignment horizontal="center" vertical="center"/>
    </xf>
    <xf numFmtId="0" fontId="1" fillId="2" borderId="62" xfId="1" applyBorder="1" applyAlignment="1">
      <alignment horizontal="center"/>
    </xf>
    <xf numFmtId="0" fontId="1" fillId="2" borderId="12" xfId="1" applyBorder="1" applyAlignment="1">
      <alignment horizontal="center"/>
    </xf>
    <xf numFmtId="0" fontId="1" fillId="2" borderId="51" xfId="1" applyBorder="1" applyAlignment="1">
      <alignment horizontal="center"/>
    </xf>
    <xf numFmtId="0" fontId="1" fillId="2" borderId="9" xfId="1" applyBorder="1" applyAlignment="1">
      <alignment horizontal="center"/>
    </xf>
    <xf numFmtId="0" fontId="1" fillId="2" borderId="6" xfId="1" applyBorder="1"/>
    <xf numFmtId="0" fontId="1" fillId="2" borderId="46" xfId="1" applyBorder="1"/>
    <xf numFmtId="0" fontId="1" fillId="2" borderId="47" xfId="1" applyBorder="1" applyAlignment="1">
      <alignment horizontal="center"/>
    </xf>
    <xf numFmtId="0" fontId="1" fillId="2" borderId="25" xfId="1" applyBorder="1" applyAlignment="1">
      <alignment horizontal="center" vertical="center"/>
    </xf>
    <xf numFmtId="0" fontId="1" fillId="2" borderId="6" xfId="1" applyBorder="1" applyAlignment="1">
      <alignment horizontal="left"/>
    </xf>
    <xf numFmtId="0" fontId="1" fillId="2" borderId="51" xfId="1" applyBorder="1" applyAlignment="1">
      <alignment horizontal="left"/>
    </xf>
    <xf numFmtId="0" fontId="1" fillId="2" borderId="46" xfId="1" applyBorder="1" applyAlignment="1">
      <alignment horizontal="left"/>
    </xf>
    <xf numFmtId="0" fontId="0" fillId="0" borderId="76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12" borderId="62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51" xfId="0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49" fontId="1" fillId="2" borderId="0" xfId="1" applyNumberFormat="1"/>
    <xf numFmtId="49" fontId="20" fillId="10" borderId="0" xfId="2" applyNumberFormat="1"/>
    <xf numFmtId="0" fontId="1" fillId="2" borderId="0" xfId="1" applyAlignment="1">
      <alignment horizontal="center"/>
    </xf>
    <xf numFmtId="0" fontId="1" fillId="2" borderId="29" xfId="1" applyBorder="1" applyAlignment="1">
      <alignment horizontal="left" vertical="center"/>
    </xf>
    <xf numFmtId="0" fontId="1" fillId="2" borderId="25" xfId="1" applyBorder="1" applyAlignment="1">
      <alignment horizontal="left" vertical="center"/>
    </xf>
    <xf numFmtId="0" fontId="1" fillId="2" borderId="6" xfId="1" applyBorder="1" applyAlignment="1">
      <alignment horizontal="center" vertical="center"/>
    </xf>
    <xf numFmtId="0" fontId="1" fillId="2" borderId="72" xfId="1" applyBorder="1" applyAlignment="1">
      <alignment horizontal="center"/>
    </xf>
    <xf numFmtId="0" fontId="1" fillId="2" borderId="8" xfId="1" applyBorder="1" applyAlignment="1">
      <alignment horizontal="center"/>
    </xf>
    <xf numFmtId="0" fontId="1" fillId="2" borderId="11" xfId="1" applyBorder="1" applyAlignment="1">
      <alignment horizontal="center"/>
    </xf>
    <xf numFmtId="0" fontId="1" fillId="2" borderId="6" xfId="1" applyBorder="1" applyAlignment="1">
      <alignment horizontal="left" vertical="center"/>
    </xf>
    <xf numFmtId="0" fontId="1" fillId="2" borderId="47" xfId="1" applyBorder="1"/>
    <xf numFmtId="0" fontId="1" fillId="2" borderId="46" xfId="1" applyBorder="1" applyAlignment="1">
      <alignment horizontal="center"/>
    </xf>
    <xf numFmtId="0" fontId="1" fillId="2" borderId="0" xfId="1" applyAlignment="1">
      <alignment horizontal="left"/>
    </xf>
    <xf numFmtId="0" fontId="0" fillId="0" borderId="0" xfId="0" applyAlignment="1">
      <alignment horizontal="center" vertical="center"/>
    </xf>
    <xf numFmtId="0" fontId="1" fillId="2" borderId="0" xfId="1" applyAlignment="1">
      <alignment horizontal="left" vertical="center"/>
    </xf>
    <xf numFmtId="0" fontId="20" fillId="10" borderId="0" xfId="2" applyAlignment="1">
      <alignment horizontal="left" vertical="center"/>
    </xf>
    <xf numFmtId="0" fontId="0" fillId="0" borderId="6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9" fillId="11" borderId="0" xfId="3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2" borderId="66" xfId="1" applyBorder="1" applyAlignment="1">
      <alignment horizontal="center" vertical="center"/>
    </xf>
    <xf numFmtId="0" fontId="1" fillId="2" borderId="33" xfId="1" applyBorder="1" applyAlignment="1">
      <alignment horizontal="center" vertical="center"/>
    </xf>
    <xf numFmtId="0" fontId="1" fillId="2" borderId="67" xfId="1" applyBorder="1" applyAlignment="1">
      <alignment horizontal="center" vertical="center"/>
    </xf>
    <xf numFmtId="0" fontId="1" fillId="2" borderId="27" xfId="1" applyBorder="1" applyAlignment="1">
      <alignment horizontal="center" vertical="center"/>
    </xf>
    <xf numFmtId="0" fontId="1" fillId="2" borderId="26" xfId="1" applyBorder="1" applyAlignment="1">
      <alignment horizontal="center" vertical="center"/>
    </xf>
    <xf numFmtId="0" fontId="1" fillId="2" borderId="28" xfId="1" applyBorder="1" applyAlignment="1">
      <alignment horizontal="center" vertical="center"/>
    </xf>
    <xf numFmtId="0" fontId="1" fillId="2" borderId="0" xfId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37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56" xfId="0" applyFont="1" applyBorder="1" applyAlignment="1">
      <alignment horizontal="center" vertical="center" wrapText="1"/>
    </xf>
    <xf numFmtId="0" fontId="10" fillId="0" borderId="57" xfId="0" applyFont="1" applyBorder="1" applyAlignment="1">
      <alignment horizontal="center" vertical="center" wrapText="1"/>
    </xf>
    <xf numFmtId="0" fontId="10" fillId="0" borderId="58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0" fillId="0" borderId="69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33" xfId="0" applyBorder="1" applyAlignment="1">
      <alignment horizontal="center"/>
    </xf>
    <xf numFmtId="0" fontId="1" fillId="2" borderId="37" xfId="1" applyBorder="1" applyAlignment="1">
      <alignment horizontal="center" vertical="center"/>
    </xf>
    <xf numFmtId="0" fontId="1" fillId="2" borderId="24" xfId="1" applyBorder="1" applyAlignment="1">
      <alignment horizontal="center" vertical="center"/>
    </xf>
    <xf numFmtId="0" fontId="1" fillId="2" borderId="63" xfId="1" applyBorder="1" applyAlignment="1">
      <alignment horizontal="center" vertical="center"/>
    </xf>
    <xf numFmtId="0" fontId="1" fillId="2" borderId="29" xfId="1" applyBorder="1" applyAlignment="1">
      <alignment horizontal="center" vertical="center"/>
    </xf>
    <xf numFmtId="0" fontId="1" fillId="2" borderId="25" xfId="1" applyBorder="1" applyAlignment="1">
      <alignment horizontal="center" vertical="center"/>
    </xf>
    <xf numFmtId="0" fontId="0" fillId="0" borderId="63" xfId="0" applyBorder="1" applyAlignment="1">
      <alignment horizontal="center"/>
    </xf>
    <xf numFmtId="0" fontId="0" fillId="0" borderId="10" xfId="0" applyBorder="1" applyAlignment="1">
      <alignment horizontal="center"/>
    </xf>
    <xf numFmtId="0" fontId="19" fillId="0" borderId="64" xfId="1" applyFont="1" applyFill="1" applyBorder="1" applyAlignment="1">
      <alignment horizontal="center"/>
    </xf>
    <xf numFmtId="0" fontId="19" fillId="0" borderId="13" xfId="1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2" borderId="63" xfId="1" applyBorder="1" applyAlignment="1">
      <alignment horizontal="center"/>
    </xf>
    <xf numFmtId="0" fontId="1" fillId="2" borderId="10" xfId="1" applyBorder="1" applyAlignment="1">
      <alignment horizontal="center"/>
    </xf>
    <xf numFmtId="0" fontId="1" fillId="2" borderId="64" xfId="1" applyBorder="1" applyAlignment="1">
      <alignment horizontal="center"/>
    </xf>
    <xf numFmtId="0" fontId="1" fillId="2" borderId="13" xfId="1" applyBorder="1" applyAlignment="1">
      <alignment horizontal="center"/>
    </xf>
    <xf numFmtId="0" fontId="1" fillId="2" borderId="26" xfId="1" applyBorder="1" applyAlignment="1">
      <alignment horizontal="center"/>
    </xf>
    <xf numFmtId="0" fontId="1" fillId="2" borderId="69" xfId="1" applyBorder="1" applyAlignment="1">
      <alignment horizontal="center"/>
    </xf>
    <xf numFmtId="0" fontId="1" fillId="2" borderId="70" xfId="1" applyBorder="1" applyAlignment="1">
      <alignment horizontal="center"/>
    </xf>
    <xf numFmtId="0" fontId="1" fillId="2" borderId="32" xfId="1" applyBorder="1" applyAlignment="1">
      <alignment horizontal="center"/>
    </xf>
    <xf numFmtId="0" fontId="1" fillId="2" borderId="68" xfId="1" applyBorder="1" applyAlignment="1">
      <alignment horizontal="center"/>
    </xf>
    <xf numFmtId="0" fontId="1" fillId="2" borderId="33" xfId="1" applyBorder="1" applyAlignment="1">
      <alignment horizontal="center"/>
    </xf>
    <xf numFmtId="0" fontId="1" fillId="2" borderId="39" xfId="1" applyBorder="1" applyAlignment="1">
      <alignment horizontal="center" vertical="center"/>
    </xf>
    <xf numFmtId="0" fontId="1" fillId="2" borderId="13" xfId="1" applyBorder="1" applyAlignment="1">
      <alignment horizontal="center" vertical="center"/>
    </xf>
    <xf numFmtId="0" fontId="1" fillId="2" borderId="69" xfId="1" applyBorder="1" applyAlignment="1">
      <alignment horizontal="center" vertical="center"/>
    </xf>
    <xf numFmtId="0" fontId="1" fillId="2" borderId="68" xfId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1" fillId="2" borderId="29" xfId="1" applyBorder="1" applyAlignment="1">
      <alignment horizontal="left" vertical="center"/>
    </xf>
    <xf numFmtId="0" fontId="1" fillId="2" borderId="25" xfId="1" applyBorder="1" applyAlignment="1">
      <alignment horizontal="left" vertical="center"/>
    </xf>
    <xf numFmtId="0" fontId="1" fillId="2" borderId="0" xfId="1"/>
    <xf numFmtId="0" fontId="2" fillId="0" borderId="4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4" borderId="29" xfId="0" applyFont="1" applyFill="1" applyBorder="1" applyAlignment="1" applyProtection="1">
      <alignment horizontal="center" vertical="center"/>
      <protection locked="0"/>
    </xf>
    <xf numFmtId="0" fontId="3" fillId="4" borderId="25" xfId="0" applyFont="1" applyFill="1" applyBorder="1" applyAlignment="1" applyProtection="1">
      <alignment horizontal="center" vertical="center"/>
      <protection locked="0"/>
    </xf>
    <xf numFmtId="0" fontId="0" fillId="0" borderId="2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3" fillId="4" borderId="29" xfId="0" applyFont="1" applyFill="1" applyBorder="1" applyAlignment="1" applyProtection="1">
      <alignment horizontal="left" vertical="center"/>
      <protection locked="0"/>
    </xf>
    <xf numFmtId="0" fontId="3" fillId="4" borderId="25" xfId="0" applyFont="1" applyFill="1" applyBorder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49" fontId="4" fillId="3" borderId="2" xfId="0" applyNumberFormat="1" applyFont="1" applyFill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0" fillId="0" borderId="46" xfId="0" applyBorder="1" applyAlignment="1">
      <alignment horizontal="center"/>
    </xf>
    <xf numFmtId="0" fontId="0" fillId="0" borderId="65" xfId="0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19" fillId="0" borderId="68" xfId="0" applyFont="1" applyBorder="1" applyAlignment="1">
      <alignment horizontal="center"/>
    </xf>
    <xf numFmtId="0" fontId="2" fillId="0" borderId="6" xfId="0" applyFont="1" applyBorder="1" applyAlignment="1">
      <alignment horizontal="left" vertical="center"/>
    </xf>
    <xf numFmtId="0" fontId="1" fillId="2" borderId="37" xfId="1" applyBorder="1" applyAlignment="1">
      <alignment horizontal="center"/>
    </xf>
    <xf numFmtId="0" fontId="1" fillId="2" borderId="45" xfId="1" applyBorder="1" applyAlignment="1">
      <alignment horizontal="center"/>
    </xf>
    <xf numFmtId="0" fontId="1" fillId="2" borderId="44" xfId="1" applyBorder="1" applyAlignment="1">
      <alignment horizontal="center"/>
    </xf>
    <xf numFmtId="0" fontId="1" fillId="2" borderId="39" xfId="1" applyBorder="1" applyAlignment="1">
      <alignment horizontal="center"/>
    </xf>
    <xf numFmtId="0" fontId="1" fillId="2" borderId="38" xfId="1" applyBorder="1" applyAlignment="1">
      <alignment horizontal="center"/>
    </xf>
    <xf numFmtId="0" fontId="3" fillId="4" borderId="6" xfId="0" applyFont="1" applyFill="1" applyBorder="1" applyAlignment="1" applyProtection="1">
      <alignment horizontal="left" vertical="center"/>
      <protection locked="0"/>
    </xf>
    <xf numFmtId="0" fontId="3" fillId="0" borderId="74" xfId="0" applyFont="1" applyBorder="1" applyAlignment="1" applyProtection="1">
      <alignment horizontal="center" vertical="center"/>
      <protection locked="0"/>
    </xf>
    <xf numFmtId="0" fontId="3" fillId="0" borderId="75" xfId="0" applyFont="1" applyBorder="1" applyAlignment="1" applyProtection="1">
      <alignment horizontal="center" vertical="center"/>
      <protection locked="0"/>
    </xf>
    <xf numFmtId="0" fontId="0" fillId="0" borderId="64" xfId="1" applyFont="1" applyFill="1" applyBorder="1" applyAlignment="1">
      <alignment horizontal="center"/>
    </xf>
    <xf numFmtId="0" fontId="0" fillId="0" borderId="13" xfId="1" applyFont="1" applyFill="1" applyBorder="1" applyAlignment="1">
      <alignment horizontal="center"/>
    </xf>
    <xf numFmtId="0" fontId="1" fillId="2" borderId="14" xfId="1" applyBorder="1" applyAlignment="1">
      <alignment horizontal="center" vertical="center"/>
    </xf>
    <xf numFmtId="0" fontId="1" fillId="2" borderId="15" xfId="1" applyBorder="1" applyAlignment="1">
      <alignment horizontal="center" vertical="center"/>
    </xf>
    <xf numFmtId="0" fontId="1" fillId="2" borderId="6" xfId="1" applyBorder="1" applyAlignment="1">
      <alignment horizontal="left" vertical="center"/>
    </xf>
    <xf numFmtId="0" fontId="1" fillId="2" borderId="46" xfId="1" applyBorder="1" applyAlignment="1">
      <alignment horizontal="center"/>
    </xf>
    <xf numFmtId="0" fontId="1" fillId="2" borderId="65" xfId="1" applyBorder="1" applyAlignment="1">
      <alignment horizontal="center"/>
    </xf>
    <xf numFmtId="0" fontId="1" fillId="2" borderId="0" xfId="1" applyAlignment="1">
      <alignment horizontal="center"/>
    </xf>
    <xf numFmtId="0" fontId="1" fillId="2" borderId="71" xfId="1" applyBorder="1" applyAlignment="1">
      <alignment horizontal="center"/>
    </xf>
    <xf numFmtId="0" fontId="1" fillId="2" borderId="47" xfId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5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2" borderId="0" xfId="1" applyAlignment="1">
      <alignment horizontal="left" vertical="center" wrapText="1"/>
    </xf>
    <xf numFmtId="0" fontId="0" fillId="0" borderId="46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20" fillId="10" borderId="29" xfId="2" applyBorder="1" applyAlignment="1">
      <alignment horizontal="left" vertical="center"/>
    </xf>
    <xf numFmtId="0" fontId="20" fillId="10" borderId="62" xfId="2" applyBorder="1" applyAlignment="1">
      <alignment horizontal="center"/>
    </xf>
    <xf numFmtId="0" fontId="20" fillId="10" borderId="12" xfId="2" applyBorder="1" applyAlignment="1">
      <alignment horizontal="center"/>
    </xf>
    <xf numFmtId="0" fontId="20" fillId="10" borderId="51" xfId="2" applyBorder="1" applyAlignment="1">
      <alignment horizontal="center"/>
    </xf>
    <xf numFmtId="0" fontId="20" fillId="10" borderId="9" xfId="2" applyBorder="1" applyAlignment="1">
      <alignment horizontal="center"/>
    </xf>
    <xf numFmtId="0" fontId="20" fillId="10" borderId="6" xfId="2" applyBorder="1"/>
    <xf numFmtId="0" fontId="20" fillId="10" borderId="69" xfId="2" applyBorder="1" applyAlignment="1">
      <alignment horizontal="center"/>
    </xf>
    <xf numFmtId="0" fontId="20" fillId="10" borderId="70" xfId="2" applyBorder="1" applyAlignment="1">
      <alignment horizontal="center"/>
    </xf>
    <xf numFmtId="0" fontId="20" fillId="10" borderId="32" xfId="2" applyBorder="1" applyAlignment="1">
      <alignment horizontal="center"/>
    </xf>
    <xf numFmtId="0" fontId="20" fillId="10" borderId="68" xfId="2" applyBorder="1" applyAlignment="1">
      <alignment horizontal="center"/>
    </xf>
    <xf numFmtId="0" fontId="20" fillId="10" borderId="33" xfId="2" applyBorder="1" applyAlignment="1">
      <alignment horizontal="center"/>
    </xf>
    <xf numFmtId="0" fontId="20" fillId="10" borderId="46" xfId="2" applyBorder="1"/>
    <xf numFmtId="0" fontId="20" fillId="10" borderId="0" xfId="2"/>
    <xf numFmtId="0" fontId="20" fillId="10" borderId="47" xfId="2" applyBorder="1" applyAlignment="1">
      <alignment horizontal="center"/>
    </xf>
    <xf numFmtId="0" fontId="20" fillId="10" borderId="69" xfId="2" applyBorder="1" applyAlignment="1">
      <alignment horizontal="center" vertical="center"/>
    </xf>
    <xf numFmtId="0" fontId="20" fillId="10" borderId="68" xfId="2" applyBorder="1" applyAlignment="1">
      <alignment horizontal="center" vertical="center"/>
    </xf>
    <xf numFmtId="0" fontId="20" fillId="10" borderId="37" xfId="2" applyBorder="1" applyAlignment="1">
      <alignment horizontal="center" vertical="center"/>
    </xf>
    <xf numFmtId="0" fontId="20" fillId="10" borderId="24" xfId="2" applyBorder="1" applyAlignment="1">
      <alignment horizontal="center" vertical="center"/>
    </xf>
    <xf numFmtId="0" fontId="20" fillId="10" borderId="66" xfId="2" applyBorder="1" applyAlignment="1">
      <alignment horizontal="center" vertical="center"/>
    </xf>
    <xf numFmtId="0" fontId="20" fillId="10" borderId="33" xfId="2" applyBorder="1" applyAlignment="1">
      <alignment horizontal="center" vertical="center"/>
    </xf>
    <xf numFmtId="0" fontId="20" fillId="10" borderId="67" xfId="2" applyBorder="1" applyAlignment="1">
      <alignment horizontal="center" vertical="center"/>
    </xf>
    <xf numFmtId="0" fontId="20" fillId="10" borderId="0" xfId="2" applyAlignment="1">
      <alignment horizontal="center" vertical="center"/>
    </xf>
    <xf numFmtId="0" fontId="20" fillId="10" borderId="25" xfId="2" applyBorder="1" applyAlignment="1">
      <alignment horizontal="left" vertical="center"/>
    </xf>
    <xf numFmtId="0" fontId="20" fillId="10" borderId="6" xfId="2" applyBorder="1" applyAlignment="1">
      <alignment horizontal="left"/>
    </xf>
    <xf numFmtId="0" fontId="20" fillId="10" borderId="51" xfId="2" applyBorder="1" applyAlignment="1">
      <alignment horizontal="left"/>
    </xf>
    <xf numFmtId="0" fontId="20" fillId="10" borderId="63" xfId="2" applyBorder="1" applyAlignment="1">
      <alignment horizontal="center"/>
    </xf>
    <xf numFmtId="0" fontId="20" fillId="10" borderId="10" xfId="2" applyBorder="1" applyAlignment="1">
      <alignment horizontal="center"/>
    </xf>
    <xf numFmtId="0" fontId="20" fillId="10" borderId="64" xfId="2" applyBorder="1" applyAlignment="1">
      <alignment horizontal="center"/>
    </xf>
    <xf numFmtId="0" fontId="20" fillId="10" borderId="13" xfId="2" applyBorder="1" applyAlignment="1">
      <alignment horizontal="center"/>
    </xf>
    <xf numFmtId="0" fontId="20" fillId="10" borderId="26" xfId="2" applyBorder="1" applyAlignment="1">
      <alignment horizontal="center"/>
    </xf>
    <xf numFmtId="0" fontId="20" fillId="10" borderId="46" xfId="2" applyBorder="1" applyAlignment="1">
      <alignment horizontal="left"/>
    </xf>
    <xf numFmtId="0" fontId="20" fillId="10" borderId="63" xfId="2" applyBorder="1" applyAlignment="1">
      <alignment horizontal="center" vertical="center"/>
    </xf>
    <xf numFmtId="0" fontId="20" fillId="10" borderId="13" xfId="2" applyBorder="1" applyAlignment="1">
      <alignment horizontal="center" vertical="center"/>
    </xf>
    <xf numFmtId="0" fontId="20" fillId="10" borderId="28" xfId="2" applyBorder="1" applyAlignment="1">
      <alignment horizontal="center" vertical="center"/>
    </xf>
    <xf numFmtId="0" fontId="20" fillId="10" borderId="27" xfId="2" applyBorder="1" applyAlignment="1">
      <alignment horizontal="center" vertical="center"/>
    </xf>
    <xf numFmtId="0" fontId="20" fillId="10" borderId="26" xfId="2" applyBorder="1" applyAlignment="1">
      <alignment horizontal="center" vertical="center"/>
    </xf>
    <xf numFmtId="0" fontId="20" fillId="10" borderId="0" xfId="2" applyAlignment="1">
      <alignment horizontal="center"/>
    </xf>
    <xf numFmtId="0" fontId="20" fillId="10" borderId="29" xfId="2" applyBorder="1" applyAlignment="1">
      <alignment horizontal="left" vertical="center"/>
    </xf>
    <xf numFmtId="0" fontId="20" fillId="10" borderId="39" xfId="2" applyBorder="1" applyAlignment="1">
      <alignment horizontal="center" vertical="center"/>
    </xf>
    <xf numFmtId="0" fontId="20" fillId="10" borderId="14" xfId="2" applyBorder="1" applyAlignment="1">
      <alignment horizontal="center" vertical="center"/>
    </xf>
    <xf numFmtId="0" fontId="20" fillId="10" borderId="15" xfId="2" applyBorder="1" applyAlignment="1">
      <alignment horizontal="center" vertical="center"/>
    </xf>
    <xf numFmtId="0" fontId="20" fillId="10" borderId="25" xfId="2" applyBorder="1" applyAlignment="1">
      <alignment horizontal="left" vertical="center"/>
    </xf>
    <xf numFmtId="0" fontId="20" fillId="10" borderId="0" xfId="2" applyAlignment="1">
      <alignment horizontal="center"/>
    </xf>
    <xf numFmtId="0" fontId="1" fillId="2" borderId="73" xfId="1" applyBorder="1" applyAlignment="1">
      <alignment horizontal="center" vertical="center"/>
    </xf>
    <xf numFmtId="0" fontId="1" fillId="2" borderId="0" xfId="1" applyBorder="1" applyAlignment="1">
      <alignment horizontal="left" vertical="center"/>
    </xf>
    <xf numFmtId="0" fontId="0" fillId="0" borderId="0" xfId="0" applyAlignment="1">
      <alignment vertical="center"/>
    </xf>
    <xf numFmtId="0" fontId="1" fillId="2" borderId="1" xfId="1" applyBorder="1" applyAlignment="1">
      <alignment horizontal="left" vertical="center"/>
    </xf>
    <xf numFmtId="0" fontId="1" fillId="2" borderId="59" xfId="1" applyBorder="1" applyAlignment="1">
      <alignment horizontal="center"/>
    </xf>
    <xf numFmtId="0" fontId="1" fillId="2" borderId="60" xfId="1" applyBorder="1" applyAlignment="1">
      <alignment horizontal="center"/>
    </xf>
    <xf numFmtId="0" fontId="1" fillId="2" borderId="61" xfId="1" applyBorder="1" applyAlignment="1">
      <alignment horizontal="center"/>
    </xf>
    <xf numFmtId="0" fontId="1" fillId="2" borderId="6" xfId="1" applyBorder="1" applyAlignment="1">
      <alignment horizontal="center"/>
    </xf>
  </cellXfs>
  <cellStyles count="4">
    <cellStyle name="60% - Accent2" xfId="3" builtinId="36"/>
    <cellStyle name="Bad" xfId="1" builtinId="27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AE86-6E13-4A27-BD2C-AEA6DEDC73D2}">
  <dimension ref="A1:L34"/>
  <sheetViews>
    <sheetView tabSelected="1" topLeftCell="C1" workbookViewId="0">
      <selection activeCell="I31" sqref="I31:J31"/>
    </sheetView>
  </sheetViews>
  <sheetFormatPr defaultColWidth="30.140625" defaultRowHeight="36" x14ac:dyDescent="0.25"/>
  <cols>
    <col min="1" max="1" width="3.7109375" style="46" bestFit="1" customWidth="1"/>
    <col min="2" max="2" width="9.28515625" style="46" bestFit="1" customWidth="1"/>
    <col min="3" max="3" width="5.140625" style="46" bestFit="1" customWidth="1"/>
    <col min="4" max="4" width="8.28515625" bestFit="1" customWidth="1"/>
    <col min="5" max="5" width="9.85546875" style="55" bestFit="1" customWidth="1"/>
    <col min="6" max="6" width="18.28515625" style="51" bestFit="1" customWidth="1"/>
    <col min="7" max="7" width="14.140625" style="46" bestFit="1" customWidth="1"/>
    <col min="8" max="8" width="6.140625" style="83" customWidth="1"/>
    <col min="9" max="9" width="6.140625" customWidth="1"/>
    <col min="10" max="10" width="20" customWidth="1"/>
  </cols>
  <sheetData>
    <row r="1" spans="1:12" ht="37.5" customHeight="1" thickBot="1" x14ac:dyDescent="0.3">
      <c r="A1" s="61" t="s">
        <v>0</v>
      </c>
      <c r="B1" s="63" t="s">
        <v>1</v>
      </c>
      <c r="C1" s="62" t="s">
        <v>2</v>
      </c>
      <c r="E1" s="56" t="s">
        <v>0</v>
      </c>
      <c r="F1" s="57" t="s">
        <v>1</v>
      </c>
      <c r="G1" s="58" t="s">
        <v>2</v>
      </c>
      <c r="H1" s="84" t="s">
        <v>136</v>
      </c>
      <c r="I1" t="s">
        <v>137</v>
      </c>
    </row>
    <row r="2" spans="1:12" ht="36.75" thickBot="1" x14ac:dyDescent="0.3">
      <c r="A2" s="61">
        <v>13</v>
      </c>
      <c r="B2" s="64" t="s">
        <v>3</v>
      </c>
      <c r="C2" s="61">
        <f>picks!AI31</f>
        <v>20</v>
      </c>
      <c r="E2" s="54" cm="1">
        <f t="array" ref="E2:G31">_xlfn._xlws.SORT(A2:C31,3,-1)</f>
        <v>1</v>
      </c>
      <c r="F2" s="59" t="str">
        <v>Brian</v>
      </c>
      <c r="G2" s="60">
        <v>28</v>
      </c>
      <c r="H2" s="83" t="s">
        <v>139</v>
      </c>
      <c r="I2" s="87">
        <v>28</v>
      </c>
      <c r="J2" s="87" t="s">
        <v>181</v>
      </c>
      <c r="K2" t="s">
        <v>184</v>
      </c>
    </row>
    <row r="3" spans="1:12" ht="36.75" thickBot="1" x14ac:dyDescent="0.3">
      <c r="A3" s="61">
        <v>27</v>
      </c>
      <c r="B3" s="65" t="s">
        <v>4</v>
      </c>
      <c r="C3" s="61">
        <f>picks!AI33</f>
        <v>15</v>
      </c>
      <c r="E3" s="54">
        <v>2</v>
      </c>
      <c r="F3" s="59" t="str">
        <v>Carrie</v>
      </c>
      <c r="G3" s="60">
        <v>27</v>
      </c>
      <c r="H3" s="83" t="s">
        <v>152</v>
      </c>
      <c r="I3" s="87">
        <v>27</v>
      </c>
      <c r="J3" s="87" t="s">
        <v>181</v>
      </c>
      <c r="K3" t="s">
        <v>180</v>
      </c>
    </row>
    <row r="4" spans="1:12" ht="36.75" thickBot="1" x14ac:dyDescent="0.3">
      <c r="A4" s="61">
        <v>27</v>
      </c>
      <c r="B4" s="63" t="s">
        <v>5</v>
      </c>
      <c r="C4" s="61">
        <f>picks!AI35</f>
        <v>15</v>
      </c>
      <c r="E4" s="54">
        <v>3</v>
      </c>
      <c r="F4" s="59" t="str">
        <v>Red Wing</v>
      </c>
      <c r="G4" s="60">
        <v>26</v>
      </c>
      <c r="H4" s="83" t="s">
        <v>144</v>
      </c>
      <c r="I4" s="87">
        <v>26</v>
      </c>
      <c r="J4" s="87" t="s">
        <v>181</v>
      </c>
      <c r="K4" t="s">
        <v>183</v>
      </c>
    </row>
    <row r="5" spans="1:12" ht="36.75" thickBot="1" x14ac:dyDescent="0.3">
      <c r="A5" s="61">
        <v>10</v>
      </c>
      <c r="B5" s="64" t="s">
        <v>6</v>
      </c>
      <c r="C5" s="61">
        <f>picks!AI37</f>
        <v>21</v>
      </c>
      <c r="E5" s="54">
        <v>3</v>
      </c>
      <c r="F5" s="59" t="str">
        <v>Grant</v>
      </c>
      <c r="G5" s="60">
        <v>26</v>
      </c>
      <c r="H5" s="83" t="s">
        <v>151</v>
      </c>
      <c r="I5" s="87">
        <v>26</v>
      </c>
      <c r="J5" s="87" t="s">
        <v>181</v>
      </c>
      <c r="K5" t="s">
        <v>182</v>
      </c>
    </row>
    <row r="6" spans="1:12" ht="36.75" thickBot="1" x14ac:dyDescent="0.3">
      <c r="A6" s="61">
        <v>29</v>
      </c>
      <c r="B6" s="64" t="s">
        <v>7</v>
      </c>
      <c r="C6" s="61">
        <f>picks!AI39</f>
        <v>11</v>
      </c>
      <c r="E6" s="54">
        <v>5</v>
      </c>
      <c r="F6" s="59" t="str">
        <v>Joe</v>
      </c>
      <c r="G6" s="60">
        <v>25</v>
      </c>
      <c r="H6" s="107" t="s">
        <v>165</v>
      </c>
      <c r="I6" s="87">
        <v>25</v>
      </c>
      <c r="J6" s="87" t="s">
        <v>181</v>
      </c>
      <c r="K6" t="s">
        <v>184</v>
      </c>
      <c r="L6" t="s">
        <v>170</v>
      </c>
    </row>
    <row r="7" spans="1:12" ht="36.75" thickBot="1" x14ac:dyDescent="0.3">
      <c r="A7" s="61">
        <v>9</v>
      </c>
      <c r="B7" s="64" t="s">
        <v>8</v>
      </c>
      <c r="C7" s="61">
        <f>picks!AI41</f>
        <v>22</v>
      </c>
      <c r="E7" s="54">
        <v>6</v>
      </c>
      <c r="F7" s="59" t="str">
        <v>Chrissy</v>
      </c>
      <c r="G7" s="60">
        <v>24</v>
      </c>
      <c r="H7" s="107" t="s">
        <v>166</v>
      </c>
      <c r="I7" s="87">
        <v>24</v>
      </c>
      <c r="J7" s="87" t="s">
        <v>181</v>
      </c>
      <c r="K7" t="s">
        <v>184</v>
      </c>
      <c r="L7" t="s">
        <v>171</v>
      </c>
    </row>
    <row r="8" spans="1:12" ht="36.75" thickBot="1" x14ac:dyDescent="0.3">
      <c r="A8" s="61">
        <v>1</v>
      </c>
      <c r="B8" s="64" t="s">
        <v>9</v>
      </c>
      <c r="C8" s="61">
        <f>picks!AI43</f>
        <v>28</v>
      </c>
      <c r="E8" s="54">
        <v>7</v>
      </c>
      <c r="F8" s="59" t="str">
        <v>Kyle</v>
      </c>
      <c r="G8" s="60">
        <v>23</v>
      </c>
      <c r="H8" s="83" t="s">
        <v>161</v>
      </c>
      <c r="I8" s="87">
        <v>23</v>
      </c>
      <c r="J8" s="87" t="s">
        <v>181</v>
      </c>
      <c r="K8" t="s">
        <v>184</v>
      </c>
    </row>
    <row r="9" spans="1:12" ht="36.75" thickBot="1" x14ac:dyDescent="0.3">
      <c r="A9" s="61">
        <v>22</v>
      </c>
      <c r="B9" s="64" t="s">
        <v>10</v>
      </c>
      <c r="C9" s="61">
        <f>picks!AI45</f>
        <v>17</v>
      </c>
      <c r="E9" s="54">
        <v>7</v>
      </c>
      <c r="F9" s="59" t="str">
        <v>Dave C</v>
      </c>
      <c r="G9" s="60">
        <v>23</v>
      </c>
      <c r="H9" s="83" t="s">
        <v>139</v>
      </c>
      <c r="I9" s="87">
        <v>23</v>
      </c>
      <c r="J9" s="87" t="s">
        <v>181</v>
      </c>
      <c r="K9" t="s">
        <v>185</v>
      </c>
    </row>
    <row r="10" spans="1:12" ht="36.75" thickBot="1" x14ac:dyDescent="0.3">
      <c r="A10" s="61">
        <v>19</v>
      </c>
      <c r="B10" s="64" t="s">
        <v>11</v>
      </c>
      <c r="C10" s="61">
        <f>picks!AI47</f>
        <v>18</v>
      </c>
      <c r="E10" s="54">
        <v>9</v>
      </c>
      <c r="F10" s="59" t="str">
        <v>Shelley</v>
      </c>
      <c r="G10" s="60">
        <v>22</v>
      </c>
      <c r="H10" s="83" t="s">
        <v>142</v>
      </c>
      <c r="I10">
        <v>25</v>
      </c>
      <c r="K10" t="s">
        <v>186</v>
      </c>
    </row>
    <row r="11" spans="1:12" ht="36.75" thickBot="1" x14ac:dyDescent="0.3">
      <c r="A11" s="61">
        <v>22</v>
      </c>
      <c r="B11" s="64" t="s">
        <v>12</v>
      </c>
      <c r="C11" s="61">
        <f>picks!AI49</f>
        <v>17</v>
      </c>
      <c r="E11" s="54">
        <v>10</v>
      </c>
      <c r="F11" s="59" t="str">
        <v>Colby</v>
      </c>
      <c r="G11" s="60">
        <v>21</v>
      </c>
      <c r="H11" s="83" t="s">
        <v>152</v>
      </c>
      <c r="I11" s="87">
        <v>21</v>
      </c>
      <c r="J11" s="87" t="s">
        <v>181</v>
      </c>
      <c r="K11" t="s">
        <v>182</v>
      </c>
    </row>
    <row r="12" spans="1:12" ht="36.75" thickBot="1" x14ac:dyDescent="0.3">
      <c r="A12" s="61">
        <v>25</v>
      </c>
      <c r="B12" s="64" t="s">
        <v>13</v>
      </c>
      <c r="C12" s="61">
        <f>picks!AI85</f>
        <v>16</v>
      </c>
      <c r="E12" s="54">
        <v>10</v>
      </c>
      <c r="F12" s="59" t="str">
        <v>Frank</v>
      </c>
      <c r="G12" s="60">
        <v>21</v>
      </c>
      <c r="H12" s="83" t="s">
        <v>144</v>
      </c>
      <c r="I12" s="87">
        <v>21</v>
      </c>
      <c r="J12" s="87" t="s">
        <v>181</v>
      </c>
      <c r="K12" t="s">
        <v>187</v>
      </c>
    </row>
    <row r="13" spans="1:12" ht="36.75" thickBot="1" x14ac:dyDescent="0.3">
      <c r="A13" s="61">
        <v>10</v>
      </c>
      <c r="B13" s="64" t="s">
        <v>14</v>
      </c>
      <c r="C13" s="61">
        <f>picks!AI87</f>
        <v>21</v>
      </c>
      <c r="E13" s="54">
        <v>10</v>
      </c>
      <c r="F13" s="59" t="str">
        <v>Al</v>
      </c>
      <c r="G13" s="60">
        <v>21</v>
      </c>
      <c r="H13" s="83" t="s">
        <v>144</v>
      </c>
      <c r="I13" s="87">
        <v>21</v>
      </c>
      <c r="J13" s="87" t="s">
        <v>181</v>
      </c>
      <c r="K13" t="s">
        <v>182</v>
      </c>
    </row>
    <row r="14" spans="1:12" ht="36.75" thickBot="1" x14ac:dyDescent="0.3">
      <c r="A14" s="61">
        <v>19</v>
      </c>
      <c r="B14" s="64" t="s">
        <v>15</v>
      </c>
      <c r="C14" s="61">
        <f>picks!AI89</f>
        <v>18</v>
      </c>
      <c r="E14" s="54">
        <v>13</v>
      </c>
      <c r="F14" s="59" t="str">
        <v>Lori Lynn</v>
      </c>
      <c r="G14" s="60">
        <v>20</v>
      </c>
      <c r="H14" s="83" t="s">
        <v>143</v>
      </c>
      <c r="I14" s="87">
        <v>20</v>
      </c>
      <c r="J14" s="87" t="s">
        <v>181</v>
      </c>
      <c r="K14" t="s">
        <v>184</v>
      </c>
    </row>
    <row r="15" spans="1:12" ht="36.75" thickBot="1" x14ac:dyDescent="0.3">
      <c r="A15" s="61">
        <v>2</v>
      </c>
      <c r="B15" s="64" t="s">
        <v>16</v>
      </c>
      <c r="C15" s="61">
        <f>picks!AI91</f>
        <v>27</v>
      </c>
      <c r="E15" s="54">
        <v>13</v>
      </c>
      <c r="F15" s="59" t="str">
        <v>Forrest</v>
      </c>
      <c r="G15" s="60">
        <v>20</v>
      </c>
      <c r="H15" s="83" t="s">
        <v>164</v>
      </c>
      <c r="I15" s="87">
        <v>20</v>
      </c>
      <c r="J15" s="87" t="s">
        <v>181</v>
      </c>
      <c r="K15" t="s">
        <v>188</v>
      </c>
    </row>
    <row r="16" spans="1:12" ht="36.75" thickBot="1" x14ac:dyDescent="0.3">
      <c r="A16" s="61">
        <v>10</v>
      </c>
      <c r="B16" s="64" t="s">
        <v>17</v>
      </c>
      <c r="C16" s="61">
        <f>picks!AI93</f>
        <v>21</v>
      </c>
      <c r="E16" s="54">
        <v>13</v>
      </c>
      <c r="F16" s="59" t="str">
        <v>William</v>
      </c>
      <c r="G16" s="60">
        <v>20</v>
      </c>
      <c r="H16" s="83" t="s">
        <v>160</v>
      </c>
      <c r="I16" s="87">
        <v>20</v>
      </c>
      <c r="J16" s="87" t="s">
        <v>181</v>
      </c>
      <c r="K16" t="s">
        <v>183</v>
      </c>
    </row>
    <row r="17" spans="1:12" ht="36.75" thickBot="1" x14ac:dyDescent="0.3">
      <c r="A17" s="61">
        <v>19</v>
      </c>
      <c r="B17" s="64" t="s">
        <v>18</v>
      </c>
      <c r="C17" s="61">
        <f>picks!AI95</f>
        <v>18</v>
      </c>
      <c r="E17" s="54">
        <v>13</v>
      </c>
      <c r="F17" s="59" t="str">
        <v>Zack</v>
      </c>
      <c r="G17" s="60">
        <v>20</v>
      </c>
      <c r="H17" s="83" t="s">
        <v>160</v>
      </c>
      <c r="I17" s="87">
        <v>20</v>
      </c>
      <c r="J17" s="87" t="s">
        <v>181</v>
      </c>
      <c r="K17" t="s">
        <v>189</v>
      </c>
      <c r="L17" t="s">
        <v>167</v>
      </c>
    </row>
    <row r="18" spans="1:12" ht="36.75" thickBot="1" x14ac:dyDescent="0.3">
      <c r="A18" s="61">
        <v>22</v>
      </c>
      <c r="B18" s="63" t="s">
        <v>19</v>
      </c>
      <c r="C18" s="61">
        <f>picks!AI97</f>
        <v>17</v>
      </c>
      <c r="E18" s="54">
        <v>17</v>
      </c>
      <c r="F18" s="59" t="str">
        <v>Lisa</v>
      </c>
      <c r="G18" s="60">
        <v>19</v>
      </c>
      <c r="H18" s="83" t="s">
        <v>147</v>
      </c>
      <c r="I18" s="87">
        <v>19</v>
      </c>
      <c r="J18" s="87" t="s">
        <v>181</v>
      </c>
      <c r="K18" t="s">
        <v>190</v>
      </c>
    </row>
    <row r="19" spans="1:12" ht="36.75" thickBot="1" x14ac:dyDescent="0.3">
      <c r="A19" s="61">
        <v>7</v>
      </c>
      <c r="B19" s="64" t="s">
        <v>20</v>
      </c>
      <c r="C19" s="61">
        <f>picks!AI99</f>
        <v>23</v>
      </c>
      <c r="E19" s="54">
        <v>17</v>
      </c>
      <c r="F19" s="59" t="str">
        <v>John</v>
      </c>
      <c r="G19" s="60">
        <v>19</v>
      </c>
      <c r="H19" s="106" t="s">
        <v>159</v>
      </c>
      <c r="I19" s="87">
        <v>19</v>
      </c>
      <c r="J19" s="87" t="s">
        <v>181</v>
      </c>
      <c r="K19" t="s">
        <v>182</v>
      </c>
    </row>
    <row r="20" spans="1:12" ht="36.75" thickBot="1" x14ac:dyDescent="0.3">
      <c r="A20" s="61">
        <v>7</v>
      </c>
      <c r="B20" s="64" t="s">
        <v>21</v>
      </c>
      <c r="C20" s="61">
        <f>picks!AI101</f>
        <v>23</v>
      </c>
      <c r="E20" s="54">
        <v>19</v>
      </c>
      <c r="F20" s="59" t="str">
        <v>Tom H</v>
      </c>
      <c r="G20" s="60">
        <v>18</v>
      </c>
      <c r="H20" s="83" t="s">
        <v>141</v>
      </c>
      <c r="I20" s="87">
        <v>18</v>
      </c>
      <c r="J20" s="87" t="s">
        <v>181</v>
      </c>
      <c r="K20" t="s">
        <v>183</v>
      </c>
    </row>
    <row r="21" spans="1:12" ht="36.75" thickBot="1" x14ac:dyDescent="0.3">
      <c r="A21" s="61">
        <v>29</v>
      </c>
      <c r="B21" s="64" t="s">
        <v>22</v>
      </c>
      <c r="C21" s="61">
        <f>picks!AI103</f>
        <v>11</v>
      </c>
      <c r="E21" s="54">
        <v>19</v>
      </c>
      <c r="F21" s="59" t="str">
        <v>Tom C</v>
      </c>
      <c r="G21" s="60">
        <v>18</v>
      </c>
      <c r="H21" s="83" t="s">
        <v>145</v>
      </c>
      <c r="I21" s="87">
        <v>18</v>
      </c>
      <c r="J21" s="87" t="s">
        <v>181</v>
      </c>
      <c r="K21" t="s">
        <v>184</v>
      </c>
    </row>
    <row r="22" spans="1:12" ht="36.75" thickBot="1" x14ac:dyDescent="0.3">
      <c r="A22" s="61">
        <v>17</v>
      </c>
      <c r="B22" s="64" t="s">
        <v>23</v>
      </c>
      <c r="C22" s="61">
        <f>picks!AI136</f>
        <v>19</v>
      </c>
      <c r="E22" s="54">
        <v>19</v>
      </c>
      <c r="F22" s="59" t="str">
        <v>Kaleb</v>
      </c>
      <c r="G22" s="60">
        <v>18</v>
      </c>
      <c r="H22" s="83" t="s">
        <v>160</v>
      </c>
      <c r="I22">
        <v>21</v>
      </c>
      <c r="K22" t="s">
        <v>191</v>
      </c>
    </row>
    <row r="23" spans="1:12" ht="36.75" thickBot="1" x14ac:dyDescent="0.3">
      <c r="A23" s="61">
        <v>17</v>
      </c>
      <c r="B23" s="64" t="s">
        <v>24</v>
      </c>
      <c r="C23" s="61">
        <f>picks!AI138</f>
        <v>19</v>
      </c>
      <c r="E23" s="54">
        <v>22</v>
      </c>
      <c r="F23" s="59" t="str">
        <v>Bloomers</v>
      </c>
      <c r="G23" s="60">
        <v>17</v>
      </c>
      <c r="H23" s="83" t="s">
        <v>140</v>
      </c>
      <c r="I23" s="87">
        <v>17</v>
      </c>
      <c r="J23" s="87" t="s">
        <v>181</v>
      </c>
      <c r="K23" t="s">
        <v>192</v>
      </c>
    </row>
    <row r="24" spans="1:12" ht="36.75" thickBot="1" x14ac:dyDescent="0.3">
      <c r="A24" s="61">
        <v>13</v>
      </c>
      <c r="B24" s="63" t="s">
        <v>25</v>
      </c>
      <c r="C24" s="61">
        <f>picks!AI140</f>
        <v>20</v>
      </c>
      <c r="E24" s="54">
        <v>22</v>
      </c>
      <c r="F24" s="59" t="str">
        <v>Karen</v>
      </c>
      <c r="G24" s="60">
        <v>17</v>
      </c>
      <c r="H24" s="83" t="s">
        <v>142</v>
      </c>
      <c r="I24" s="87">
        <v>17</v>
      </c>
      <c r="J24" s="87" t="s">
        <v>181</v>
      </c>
      <c r="K24" t="s">
        <v>184</v>
      </c>
      <c r="L24" t="s">
        <v>169</v>
      </c>
    </row>
    <row r="25" spans="1:12" ht="36.75" thickBot="1" x14ac:dyDescent="0.3">
      <c r="A25" s="61">
        <v>25</v>
      </c>
      <c r="B25" s="64" t="s">
        <v>26</v>
      </c>
      <c r="C25" s="61">
        <f>picks!AI142</f>
        <v>16</v>
      </c>
      <c r="E25" s="54">
        <v>22</v>
      </c>
      <c r="F25" s="59" t="str">
        <v>Robyn</v>
      </c>
      <c r="G25" s="60">
        <v>17</v>
      </c>
      <c r="H25" s="83" t="s">
        <v>139</v>
      </c>
      <c r="I25" s="87">
        <v>17</v>
      </c>
      <c r="J25" s="87" t="s">
        <v>181</v>
      </c>
      <c r="K25" t="s">
        <v>187</v>
      </c>
    </row>
    <row r="26" spans="1:12" ht="36.75" thickBot="1" x14ac:dyDescent="0.3">
      <c r="A26" s="61">
        <v>3</v>
      </c>
      <c r="B26" s="64" t="s">
        <v>27</v>
      </c>
      <c r="C26" s="61">
        <f>picks!AI144</f>
        <v>26</v>
      </c>
      <c r="E26" s="54">
        <v>25</v>
      </c>
      <c r="F26" s="59" t="str">
        <v>Denise</v>
      </c>
      <c r="G26" s="60">
        <v>16</v>
      </c>
      <c r="H26" s="83" t="s">
        <v>151</v>
      </c>
      <c r="I26" s="87">
        <v>16</v>
      </c>
      <c r="J26" s="87" t="s">
        <v>181</v>
      </c>
      <c r="K26" t="s">
        <v>183</v>
      </c>
    </row>
    <row r="27" spans="1:12" ht="36.75" thickBot="1" x14ac:dyDescent="0.3">
      <c r="A27" s="61">
        <v>13</v>
      </c>
      <c r="B27" s="64" t="s">
        <v>28</v>
      </c>
      <c r="C27" s="61">
        <f>picks!AI146</f>
        <v>20</v>
      </c>
      <c r="E27" s="54">
        <v>25</v>
      </c>
      <c r="F27" s="59" t="str">
        <v>Jesse</v>
      </c>
      <c r="G27" s="60">
        <v>16</v>
      </c>
      <c r="H27" s="106" t="s">
        <v>162</v>
      </c>
      <c r="I27" s="87">
        <v>16</v>
      </c>
      <c r="J27" s="87" t="s">
        <v>181</v>
      </c>
      <c r="K27" t="s">
        <v>193</v>
      </c>
      <c r="L27" t="s">
        <v>168</v>
      </c>
    </row>
    <row r="28" spans="1:12" ht="36.75" thickBot="1" x14ac:dyDescent="0.3">
      <c r="A28" s="61">
        <v>5</v>
      </c>
      <c r="B28" s="64" t="s">
        <v>29</v>
      </c>
      <c r="C28" s="61">
        <f>picks!AI148</f>
        <v>25</v>
      </c>
      <c r="E28" s="54">
        <v>27</v>
      </c>
      <c r="F28" s="59" t="str">
        <v>SJay</v>
      </c>
      <c r="G28" s="60">
        <v>15</v>
      </c>
      <c r="H28" s="83" t="s">
        <v>163</v>
      </c>
      <c r="I28">
        <v>18</v>
      </c>
      <c r="K28" t="s">
        <v>194</v>
      </c>
    </row>
    <row r="29" spans="1:12" ht="36.75" thickBot="1" x14ac:dyDescent="0.3">
      <c r="A29" s="61">
        <v>3</v>
      </c>
      <c r="B29" s="64" t="s">
        <v>30</v>
      </c>
      <c r="C29" s="61">
        <f>picks!AI150</f>
        <v>26</v>
      </c>
      <c r="E29" s="54">
        <v>27</v>
      </c>
      <c r="F29" s="59" t="str">
        <v>Bootsie</v>
      </c>
      <c r="G29" s="60">
        <v>15</v>
      </c>
      <c r="H29" s="83" t="s">
        <v>163</v>
      </c>
      <c r="I29">
        <v>22</v>
      </c>
      <c r="K29" t="s">
        <v>195</v>
      </c>
    </row>
    <row r="30" spans="1:12" ht="36.75" thickBot="1" x14ac:dyDescent="0.3">
      <c r="A30" s="61">
        <v>13</v>
      </c>
      <c r="B30" s="63" t="s">
        <v>31</v>
      </c>
      <c r="C30" s="61">
        <f>picks!AI152</f>
        <v>20</v>
      </c>
      <c r="E30" s="54">
        <v>29</v>
      </c>
      <c r="F30" s="59" t="str">
        <v>Emjay</v>
      </c>
      <c r="G30" s="60">
        <v>11</v>
      </c>
      <c r="H30" s="83" t="s">
        <v>161</v>
      </c>
      <c r="I30" s="87">
        <v>11</v>
      </c>
      <c r="J30" s="87" t="s">
        <v>181</v>
      </c>
      <c r="K30" t="s">
        <v>196</v>
      </c>
    </row>
    <row r="31" spans="1:12" ht="36.75" thickBot="1" x14ac:dyDescent="0.3">
      <c r="A31" s="61">
        <v>6</v>
      </c>
      <c r="B31" s="64" t="s">
        <v>32</v>
      </c>
      <c r="C31" s="61">
        <f>picks!AI154</f>
        <v>24</v>
      </c>
      <c r="E31" s="54">
        <v>29</v>
      </c>
      <c r="F31" s="59" t="str">
        <v>Theresa</v>
      </c>
      <c r="G31" s="60">
        <v>11</v>
      </c>
      <c r="H31" s="83" t="s">
        <v>146</v>
      </c>
      <c r="I31" s="87">
        <v>11</v>
      </c>
      <c r="J31" s="87" t="s">
        <v>181</v>
      </c>
      <c r="K31" t="s">
        <v>197</v>
      </c>
    </row>
    <row r="32" spans="1:12" x14ac:dyDescent="0.25">
      <c r="G32" s="46">
        <f>SUM(G2:G31)</f>
        <v>594</v>
      </c>
    </row>
    <row r="33" spans="6:7" x14ac:dyDescent="0.25">
      <c r="F33" s="51" t="s">
        <v>131</v>
      </c>
      <c r="G33" s="46">
        <v>20</v>
      </c>
    </row>
    <row r="34" spans="6:7" x14ac:dyDescent="0.25">
      <c r="F34" s="51" t="s">
        <v>132</v>
      </c>
      <c r="G34" s="46">
        <f>AVERAGE(G32/30)</f>
        <v>19.8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5D550-923E-43F7-8FC2-E31F62305022}">
  <dimension ref="A1:BA161"/>
  <sheetViews>
    <sheetView topLeftCell="A82" workbookViewId="0">
      <selection activeCell="AL98" sqref="AL98"/>
    </sheetView>
  </sheetViews>
  <sheetFormatPr defaultRowHeight="11.25" customHeight="1" x14ac:dyDescent="0.25"/>
  <cols>
    <col min="2" max="28" width="4.5703125" customWidth="1"/>
    <col min="29" max="29" width="6.7109375" customWidth="1"/>
    <col min="30" max="41" width="4.5703125" customWidth="1"/>
    <col min="42" max="44" width="4.140625" customWidth="1"/>
    <col min="45" max="45" width="3.85546875" customWidth="1"/>
    <col min="46" max="47" width="3.7109375" customWidth="1"/>
    <col min="48" max="48" width="3.7109375" bestFit="1" customWidth="1"/>
    <col min="49" max="49" width="3.42578125" bestFit="1" customWidth="1"/>
    <col min="50" max="50" width="3" bestFit="1" customWidth="1"/>
    <col min="51" max="51" width="5.42578125" bestFit="1" customWidth="1"/>
  </cols>
  <sheetData>
    <row r="1" spans="1:29" ht="12" customHeight="1" thickTop="1" x14ac:dyDescent="0.25">
      <c r="A1" s="228" t="s">
        <v>33</v>
      </c>
      <c r="B1" s="1"/>
      <c r="C1" s="1"/>
      <c r="D1" s="230" t="s">
        <v>34</v>
      </c>
      <c r="E1" s="230"/>
      <c r="F1" s="2"/>
      <c r="G1" s="3"/>
      <c r="H1" s="66"/>
      <c r="I1" s="230" t="s">
        <v>35</v>
      </c>
      <c r="J1" s="230"/>
      <c r="K1" s="3"/>
      <c r="L1" s="4"/>
      <c r="M1" s="66"/>
      <c r="N1" s="230" t="s">
        <v>36</v>
      </c>
      <c r="O1" s="230"/>
      <c r="P1" s="2"/>
      <c r="Q1" s="5"/>
      <c r="R1" s="66"/>
      <c r="S1" s="66"/>
      <c r="T1" s="2" t="s">
        <v>37</v>
      </c>
      <c r="U1" s="4"/>
      <c r="V1" s="6"/>
      <c r="W1" s="2"/>
      <c r="X1" s="2" t="s">
        <v>38</v>
      </c>
      <c r="Y1" s="2"/>
      <c r="Z1" s="231" t="s">
        <v>39</v>
      </c>
      <c r="AA1" s="232"/>
      <c r="AB1" s="78"/>
      <c r="AC1" s="78"/>
    </row>
    <row r="2" spans="1:29" ht="12" customHeight="1" x14ac:dyDescent="0.25">
      <c r="A2" s="229"/>
      <c r="B2" s="7">
        <v>4</v>
      </c>
      <c r="C2" s="8">
        <v>5</v>
      </c>
      <c r="D2" s="8">
        <v>8</v>
      </c>
      <c r="E2" s="8">
        <v>14</v>
      </c>
      <c r="F2" s="8">
        <v>22</v>
      </c>
      <c r="G2" s="9">
        <v>29</v>
      </c>
      <c r="H2" s="7">
        <v>5</v>
      </c>
      <c r="I2" s="10">
        <v>12</v>
      </c>
      <c r="J2" s="8">
        <v>20</v>
      </c>
      <c r="K2" s="9">
        <v>26</v>
      </c>
      <c r="L2" s="10">
        <v>2</v>
      </c>
      <c r="M2" s="8">
        <v>9</v>
      </c>
      <c r="N2" s="8">
        <v>13</v>
      </c>
      <c r="O2" s="8">
        <v>23</v>
      </c>
      <c r="P2" s="8">
        <v>27</v>
      </c>
      <c r="Q2" s="11">
        <v>27</v>
      </c>
      <c r="R2" s="10">
        <v>7</v>
      </c>
      <c r="S2" s="12">
        <v>11</v>
      </c>
      <c r="T2" s="12">
        <v>18</v>
      </c>
      <c r="U2" s="12">
        <v>21</v>
      </c>
      <c r="V2" s="13">
        <v>25</v>
      </c>
      <c r="W2" s="10" t="s">
        <v>40</v>
      </c>
      <c r="X2" s="8" t="s">
        <v>40</v>
      </c>
      <c r="Y2" s="12" t="s">
        <v>40</v>
      </c>
      <c r="Z2" s="233"/>
      <c r="AA2" s="234"/>
      <c r="AB2" s="78"/>
      <c r="AC2" s="78"/>
    </row>
    <row r="3" spans="1:29" ht="12" customHeight="1" thickBot="1" x14ac:dyDescent="0.3">
      <c r="A3" s="14" t="s">
        <v>41</v>
      </c>
      <c r="B3" s="15">
        <v>1</v>
      </c>
      <c r="C3" s="16">
        <v>2</v>
      </c>
      <c r="D3" s="16">
        <v>3</v>
      </c>
      <c r="E3" s="16">
        <v>4</v>
      </c>
      <c r="F3" s="16">
        <v>5</v>
      </c>
      <c r="G3" s="17">
        <v>6</v>
      </c>
      <c r="H3" s="18">
        <v>7</v>
      </c>
      <c r="I3" s="18">
        <v>8</v>
      </c>
      <c r="J3" s="16">
        <v>9</v>
      </c>
      <c r="K3" s="17">
        <v>10</v>
      </c>
      <c r="L3" s="18">
        <v>11</v>
      </c>
      <c r="M3" s="16">
        <v>12</v>
      </c>
      <c r="N3" s="16">
        <v>13</v>
      </c>
      <c r="O3" s="16">
        <v>14</v>
      </c>
      <c r="P3" s="16">
        <v>15</v>
      </c>
      <c r="Q3" s="17">
        <v>16</v>
      </c>
      <c r="R3" s="18">
        <v>17</v>
      </c>
      <c r="S3" s="16">
        <v>18</v>
      </c>
      <c r="T3" s="16">
        <v>19</v>
      </c>
      <c r="U3" s="18">
        <v>20</v>
      </c>
      <c r="V3" s="17">
        <v>21</v>
      </c>
      <c r="W3" s="18">
        <v>22</v>
      </c>
      <c r="X3" s="16">
        <v>23</v>
      </c>
      <c r="Y3" s="16">
        <v>24</v>
      </c>
      <c r="Z3" s="235"/>
      <c r="AA3" s="236"/>
      <c r="AB3" s="78" t="s">
        <v>133</v>
      </c>
      <c r="AC3" s="78" t="s">
        <v>134</v>
      </c>
    </row>
    <row r="4" spans="1:29" ht="12" customHeight="1" x14ac:dyDescent="0.25">
      <c r="A4" s="247" t="s">
        <v>3</v>
      </c>
      <c r="B4" s="19" t="s">
        <v>42</v>
      </c>
      <c r="C4" s="20" t="s">
        <v>43</v>
      </c>
      <c r="D4" s="20" t="s">
        <v>44</v>
      </c>
      <c r="E4" s="20" t="s">
        <v>45</v>
      </c>
      <c r="F4" s="20" t="s">
        <v>46</v>
      </c>
      <c r="G4" s="20" t="s">
        <v>47</v>
      </c>
      <c r="H4" s="20" t="s">
        <v>48</v>
      </c>
      <c r="I4" s="20" t="s">
        <v>49</v>
      </c>
      <c r="J4" s="20" t="s">
        <v>50</v>
      </c>
      <c r="K4" s="20" t="s">
        <v>51</v>
      </c>
      <c r="L4" s="20" t="s">
        <v>52</v>
      </c>
      <c r="M4" s="20" t="s">
        <v>53</v>
      </c>
      <c r="N4" s="20" t="s">
        <v>54</v>
      </c>
      <c r="O4" s="20" t="s">
        <v>55</v>
      </c>
      <c r="P4" s="20" t="s">
        <v>56</v>
      </c>
      <c r="Q4" s="20" t="s">
        <v>43</v>
      </c>
      <c r="R4" s="20" t="s">
        <v>49</v>
      </c>
      <c r="S4" s="20" t="s">
        <v>51</v>
      </c>
      <c r="T4" s="21" t="s">
        <v>45</v>
      </c>
      <c r="U4" s="20" t="s">
        <v>51</v>
      </c>
      <c r="V4" s="20" t="s">
        <v>57</v>
      </c>
      <c r="W4" s="20" t="s">
        <v>47</v>
      </c>
      <c r="X4" s="20" t="s">
        <v>55</v>
      </c>
      <c r="Y4" s="20" t="s">
        <v>58</v>
      </c>
      <c r="Z4" s="216">
        <f>SUM(B5:Y5)</f>
        <v>13</v>
      </c>
      <c r="AA4" s="134"/>
      <c r="AB4" s="46"/>
      <c r="AC4" s="119">
        <f>SUM(Z4,AB5)</f>
        <v>13</v>
      </c>
    </row>
    <row r="5" spans="1:29" ht="12" customHeight="1" thickBot="1" x14ac:dyDescent="0.3">
      <c r="A5" s="227"/>
      <c r="B5" s="22">
        <f>IF(B24="Philadelphia Eagles",1,0)</f>
        <v>1</v>
      </c>
      <c r="C5" s="23">
        <f>IF(C24="Kansas City Chiefs",1,0)</f>
        <v>0</v>
      </c>
      <c r="D5" s="23">
        <f>IF(D24="Minnesota Vikings",1,0)</f>
        <v>1</v>
      </c>
      <c r="E5" s="23">
        <f>IF(E24="Los Angeles Rams",1,0)</f>
        <v>1</v>
      </c>
      <c r="F5" s="23">
        <f>IF(F24="Baltimore Ravens",1,0)</f>
        <v>0</v>
      </c>
      <c r="G5" s="23">
        <f>IF(G24="Denver Broncos",1,0)</f>
        <v>1</v>
      </c>
      <c r="H5" s="23">
        <f>IF(H24="Indianapolis Colts",1,0)</f>
        <v>1</v>
      </c>
      <c r="I5" s="23">
        <f>IF(I24="Pittsburgh Steelers",1,0)</f>
        <v>1</v>
      </c>
      <c r="J5" s="23">
        <f>IF(J24="Houston Texans",1,0)</f>
        <v>0</v>
      </c>
      <c r="K5" s="23">
        <f>IF(K24="Tampa Bay Buccaneers",1,0)</f>
        <v>1</v>
      </c>
      <c r="L5" s="23">
        <f>IF(L24="New York Giants",1,0)</f>
        <v>0</v>
      </c>
      <c r="M5" s="23">
        <f>IF(M24="Buffalo Bills",1,0)</f>
        <v>0</v>
      </c>
      <c r="N5" s="23">
        <f>IF(N24="New York Jets",1,0)</f>
        <v>0</v>
      </c>
      <c r="O5" s="23">
        <f>IF(O24="Jacksonville Jaguars",1,0)</f>
        <v>1</v>
      </c>
      <c r="P5" s="23">
        <f>IF(P24="Detroit Lions",1,0)</f>
        <v>0</v>
      </c>
      <c r="Q5" s="23">
        <f>IF(Q24="Kansas City Chiefs",1,0)</f>
        <v>0</v>
      </c>
      <c r="R5" s="23">
        <f>IF(R24="Pittsburgh Steelers",1,0)</f>
        <v>1</v>
      </c>
      <c r="S5" s="23">
        <f>IF(S24="Tampa Bay Buccaneers",1,0)</f>
        <v>0</v>
      </c>
      <c r="T5" s="23">
        <f>IF(T24="Los Angeles Rams",1,0)</f>
        <v>0</v>
      </c>
      <c r="U5" s="23">
        <f>IF(U24="Tampa Bay Buccaneers",1,0)</f>
        <v>0</v>
      </c>
      <c r="V5" s="23">
        <f>IF(V24="Dallas Cowboys",1,0)</f>
        <v>1</v>
      </c>
      <c r="W5" s="23">
        <f>IF(W24="Denver Broncos",1,0)</f>
        <v>1</v>
      </c>
      <c r="X5" s="23">
        <f>IF(X24="Jacksonville Jaguars",1,0)</f>
        <v>1</v>
      </c>
      <c r="Y5" s="23">
        <f>IF(Y24="Seattle Seahawks",1,0)</f>
        <v>1</v>
      </c>
      <c r="Z5" s="125"/>
      <c r="AA5" s="127"/>
      <c r="AB5" s="46"/>
      <c r="AC5" s="119"/>
    </row>
    <row r="6" spans="1:29" ht="12" customHeight="1" x14ac:dyDescent="0.25">
      <c r="A6" s="226" t="s">
        <v>4</v>
      </c>
      <c r="B6" s="19" t="s">
        <v>42</v>
      </c>
      <c r="C6" s="20" t="s">
        <v>59</v>
      </c>
      <c r="D6" s="20" t="s">
        <v>60</v>
      </c>
      <c r="E6" s="20" t="s">
        <v>45</v>
      </c>
      <c r="F6" s="20" t="s">
        <v>46</v>
      </c>
      <c r="G6" s="20" t="s">
        <v>47</v>
      </c>
      <c r="H6" s="20" t="s">
        <v>48</v>
      </c>
      <c r="I6" s="20" t="s">
        <v>49</v>
      </c>
      <c r="J6" s="20" t="s">
        <v>50</v>
      </c>
      <c r="K6" s="20" t="s">
        <v>51</v>
      </c>
      <c r="L6" s="20" t="s">
        <v>52</v>
      </c>
      <c r="M6" s="20" t="s">
        <v>53</v>
      </c>
      <c r="N6" s="20" t="s">
        <v>61</v>
      </c>
      <c r="O6" s="20" t="s">
        <v>62</v>
      </c>
      <c r="P6" s="20" t="s">
        <v>56</v>
      </c>
      <c r="Q6" s="20" t="s">
        <v>43</v>
      </c>
      <c r="R6" s="20" t="s">
        <v>46</v>
      </c>
      <c r="S6" s="20" t="s">
        <v>51</v>
      </c>
      <c r="T6" s="21" t="s">
        <v>45</v>
      </c>
      <c r="U6" s="20" t="s">
        <v>51</v>
      </c>
      <c r="V6" s="20" t="s">
        <v>63</v>
      </c>
      <c r="W6" s="20" t="s">
        <v>47</v>
      </c>
      <c r="X6" s="20" t="s">
        <v>64</v>
      </c>
      <c r="Y6" s="20" t="s">
        <v>65</v>
      </c>
      <c r="Z6" s="216">
        <f>SUM(B7:Y7)</f>
        <v>9</v>
      </c>
      <c r="AA6" s="134"/>
      <c r="AB6" s="46"/>
      <c r="AC6" s="119">
        <f>SUM(Z6,AB7)</f>
        <v>9</v>
      </c>
    </row>
    <row r="7" spans="1:29" ht="12" customHeight="1" thickBot="1" x14ac:dyDescent="0.3">
      <c r="A7" s="227"/>
      <c r="B7" s="22">
        <f>IF(B24="Philadelphia Eagles",1,0)</f>
        <v>1</v>
      </c>
      <c r="C7" s="23">
        <f>IF(C24="Los Angeles Chargers",1,0)</f>
        <v>1</v>
      </c>
      <c r="D7" s="23">
        <f>IF(D24="Chicago Bears",1,0)</f>
        <v>0</v>
      </c>
      <c r="E7" s="23">
        <f>IF(E24="Los Angeles Rams",1,0)</f>
        <v>1</v>
      </c>
      <c r="F7" s="23">
        <f>IF(F24="Baltimore Ravens",1,0)</f>
        <v>0</v>
      </c>
      <c r="G7" s="23">
        <f>IF(G24="Denver Broncos",1,0)</f>
        <v>1</v>
      </c>
      <c r="H7" s="23">
        <f>IF(H24="Indianapolis Colts",1,0)</f>
        <v>1</v>
      </c>
      <c r="I7" s="23">
        <f>IF(I24="Pittsburgh Steelers",1,0)</f>
        <v>1</v>
      </c>
      <c r="J7" s="23">
        <f>IF(J24="Houston Texans",1,0)</f>
        <v>0</v>
      </c>
      <c r="K7" s="23">
        <f>IF(K24="Tampa Bay Buccaneers",1,0)</f>
        <v>1</v>
      </c>
      <c r="L7" s="23">
        <f>IF(L24="New York Giants",1,0)</f>
        <v>0</v>
      </c>
      <c r="M7" s="23">
        <f>IF(M24="Buffalo Bills",1,0)</f>
        <v>0</v>
      </c>
      <c r="N7" s="23">
        <f>IF(N24="New England Patriots",1,0)</f>
        <v>1</v>
      </c>
      <c r="O7" s="23">
        <f>IF(O24="Arizona Cardinals",1,0)</f>
        <v>0</v>
      </c>
      <c r="P7" s="23">
        <f>IF(P24="Detroit Lions",1,0)</f>
        <v>0</v>
      </c>
      <c r="Q7" s="23">
        <f>IF(Q24="Kansas City Chiefs",1,0)</f>
        <v>0</v>
      </c>
      <c r="R7" s="23">
        <f>IF(R24="Baltimore Ravens",1,0)</f>
        <v>0</v>
      </c>
      <c r="S7" s="23">
        <f>IF(S24="Tampa Bay Buccaneers",1,0)</f>
        <v>0</v>
      </c>
      <c r="T7" s="23">
        <f>IF(T24="Los Angeles Rams",1,0)</f>
        <v>0</v>
      </c>
      <c r="U7" s="23">
        <f>IF(U24="Tampa Bay Buccaneers",1,0)</f>
        <v>0</v>
      </c>
      <c r="V7" s="23">
        <f>IF(V24="Washington Commanders",1,0)</f>
        <v>0</v>
      </c>
      <c r="W7" s="23">
        <f>IF(W24="Denver Broncos",1,0)</f>
        <v>1</v>
      </c>
      <c r="X7" s="23">
        <f>IF(X24="Tennessee Titans",1,0)</f>
        <v>0</v>
      </c>
      <c r="Y7" s="24">
        <f>IF(Y24="San Francisco 49ers",1,0)</f>
        <v>0</v>
      </c>
      <c r="Z7" s="125"/>
      <c r="AA7" s="127"/>
      <c r="AB7" s="46"/>
      <c r="AC7" s="119"/>
    </row>
    <row r="8" spans="1:29" ht="12" customHeight="1" x14ac:dyDescent="0.25">
      <c r="A8" s="214" t="s">
        <v>66</v>
      </c>
      <c r="B8" s="25" t="s">
        <v>42</v>
      </c>
      <c r="C8" s="20" t="s">
        <v>59</v>
      </c>
      <c r="D8" s="20" t="s">
        <v>60</v>
      </c>
      <c r="E8" s="20" t="s">
        <v>64</v>
      </c>
      <c r="F8" s="20" t="s">
        <v>46</v>
      </c>
      <c r="G8" s="20" t="s">
        <v>47</v>
      </c>
      <c r="H8" s="20" t="s">
        <v>48</v>
      </c>
      <c r="I8" s="20" t="s">
        <v>49</v>
      </c>
      <c r="J8" s="20" t="s">
        <v>50</v>
      </c>
      <c r="K8" s="20" t="s">
        <v>51</v>
      </c>
      <c r="L8" s="20" t="s">
        <v>52</v>
      </c>
      <c r="M8" s="20" t="s">
        <v>53</v>
      </c>
      <c r="N8" s="20" t="s">
        <v>61</v>
      </c>
      <c r="O8" s="20" t="s">
        <v>62</v>
      </c>
      <c r="P8" s="20" t="s">
        <v>67</v>
      </c>
      <c r="Q8" s="20" t="s">
        <v>43</v>
      </c>
      <c r="R8" s="20" t="s">
        <v>46</v>
      </c>
      <c r="S8" s="20" t="s">
        <v>51</v>
      </c>
      <c r="T8" s="21" t="s">
        <v>45</v>
      </c>
      <c r="U8" s="20" t="s">
        <v>51</v>
      </c>
      <c r="V8" s="20" t="s">
        <v>57</v>
      </c>
      <c r="W8" s="20" t="s">
        <v>47</v>
      </c>
      <c r="X8" s="20" t="s">
        <v>64</v>
      </c>
      <c r="Y8" s="20" t="s">
        <v>65</v>
      </c>
      <c r="Z8" s="216">
        <f>SUM(B9:Y9)</f>
        <v>10</v>
      </c>
      <c r="AA8" s="134"/>
      <c r="AB8" s="46"/>
      <c r="AC8" s="119">
        <f t="shared" ref="AC8" si="0">SUM(Z8,AB9)</f>
        <v>10</v>
      </c>
    </row>
    <row r="9" spans="1:29" ht="12" customHeight="1" thickBot="1" x14ac:dyDescent="0.3">
      <c r="A9" s="215"/>
      <c r="B9" s="22">
        <f>IF(B24="Philadelphia Eagles",1,0)</f>
        <v>1</v>
      </c>
      <c r="C9" s="23">
        <f>IF(C24="Los Angeles Chargers",1,0)</f>
        <v>1</v>
      </c>
      <c r="D9" s="23">
        <f>IF(D24="Chicago Bears",1,0)</f>
        <v>0</v>
      </c>
      <c r="E9" s="23">
        <f>IF(E24="Tennessee Titans",1,0)</f>
        <v>0</v>
      </c>
      <c r="F9" s="23">
        <f>IF(F24="Baltimore Ravens",1,0)</f>
        <v>0</v>
      </c>
      <c r="G9" s="23">
        <f>IF(G24="Denver Broncos",1,0)</f>
        <v>1</v>
      </c>
      <c r="H9" s="23">
        <f>IF(H24="Indianapolis Colts",1,0)</f>
        <v>1</v>
      </c>
      <c r="I9" s="23">
        <f>IF(I24="Pittsburgh Steelers",1,0)</f>
        <v>1</v>
      </c>
      <c r="J9" s="23">
        <f>IF(J24="Houston Texans",1,0)</f>
        <v>0</v>
      </c>
      <c r="K9" s="23">
        <f>IF(K24="Tampa Bay Buccaneers",1,0)</f>
        <v>1</v>
      </c>
      <c r="L9" s="23">
        <f>IF(L24="New York Giants",1,0)</f>
        <v>0</v>
      </c>
      <c r="M9" s="23">
        <f>IF(M24="Buffalo Bills",1,0)</f>
        <v>0</v>
      </c>
      <c r="N9" s="23">
        <f>IF(N24="New England Patriots",1,0)</f>
        <v>1</v>
      </c>
      <c r="O9" s="23">
        <f>IF(O24="Arizona Cardinals",1,0)</f>
        <v>0</v>
      </c>
      <c r="P9" s="23">
        <f>IF(P24="Green Bay Packers",1,0)</f>
        <v>1</v>
      </c>
      <c r="Q9" s="23">
        <f>IF(Q24="Kansas City Chiefs",1,0)</f>
        <v>0</v>
      </c>
      <c r="R9" s="23">
        <f>IF(R24="Baltimore Ravens",1,0)</f>
        <v>0</v>
      </c>
      <c r="S9" s="23">
        <f>IF(S24="Tampa Bay Buccaneers",1,0)</f>
        <v>0</v>
      </c>
      <c r="T9" s="23">
        <f>IF(T24="Los Angeles Rams",1,0)</f>
        <v>0</v>
      </c>
      <c r="U9" s="23">
        <f>IF(U24="Tampa Bay Buccaneers",1,0)</f>
        <v>0</v>
      </c>
      <c r="V9" s="23">
        <f>IF(V24="Dallas Cowboys",1,0)</f>
        <v>1</v>
      </c>
      <c r="W9" s="23">
        <f>IF(W24="Denver Broncos",1,0)</f>
        <v>1</v>
      </c>
      <c r="X9" s="23">
        <f>IF(X24="Tennessee Titans",1,0)</f>
        <v>0</v>
      </c>
      <c r="Y9" s="24">
        <f>IF(Y24="San Francisco 49ers",1,0)</f>
        <v>0</v>
      </c>
      <c r="Z9" s="125"/>
      <c r="AA9" s="127"/>
      <c r="AB9" s="46"/>
      <c r="AC9" s="119"/>
    </row>
    <row r="10" spans="1:29" ht="12" customHeight="1" x14ac:dyDescent="0.25">
      <c r="A10" s="226" t="s">
        <v>6</v>
      </c>
      <c r="B10" s="19" t="s">
        <v>42</v>
      </c>
      <c r="C10" s="20" t="s">
        <v>59</v>
      </c>
      <c r="D10" s="20" t="s">
        <v>44</v>
      </c>
      <c r="E10" s="20" t="s">
        <v>45</v>
      </c>
      <c r="F10" s="20" t="s">
        <v>46</v>
      </c>
      <c r="G10" s="20" t="s">
        <v>47</v>
      </c>
      <c r="H10" s="20" t="s">
        <v>68</v>
      </c>
      <c r="I10" s="20" t="s">
        <v>49</v>
      </c>
      <c r="J10" s="20" t="s">
        <v>50</v>
      </c>
      <c r="K10" s="20" t="s">
        <v>51</v>
      </c>
      <c r="L10" s="20" t="s">
        <v>65</v>
      </c>
      <c r="M10" s="20" t="s">
        <v>53</v>
      </c>
      <c r="N10" s="20" t="s">
        <v>61</v>
      </c>
      <c r="O10" s="20" t="s">
        <v>62</v>
      </c>
      <c r="P10" s="20" t="s">
        <v>56</v>
      </c>
      <c r="Q10" s="20" t="s">
        <v>43</v>
      </c>
      <c r="R10" s="20" t="s">
        <v>46</v>
      </c>
      <c r="S10" s="20" t="s">
        <v>51</v>
      </c>
      <c r="T10" s="21" t="s">
        <v>45</v>
      </c>
      <c r="U10" s="20" t="s">
        <v>51</v>
      </c>
      <c r="V10" s="20" t="s">
        <v>63</v>
      </c>
      <c r="W10" s="20" t="s">
        <v>47</v>
      </c>
      <c r="X10" s="20" t="s">
        <v>55</v>
      </c>
      <c r="Y10" s="20" t="s">
        <v>65</v>
      </c>
      <c r="Z10" s="216">
        <f>SUM(B11:Y11)</f>
        <v>11</v>
      </c>
      <c r="AA10" s="134"/>
      <c r="AB10" s="46"/>
      <c r="AC10" s="119">
        <f t="shared" ref="AC10" si="1">SUM(Z10,AB11)</f>
        <v>11</v>
      </c>
    </row>
    <row r="11" spans="1:29" ht="12" customHeight="1" thickBot="1" x14ac:dyDescent="0.3">
      <c r="A11" s="227"/>
      <c r="B11" s="22">
        <f>IF(B24="Philadelphia Eagles",1,0)</f>
        <v>1</v>
      </c>
      <c r="C11" s="23">
        <f>IF(C24="Los Angeles Chargers",1,0)</f>
        <v>1</v>
      </c>
      <c r="D11" s="23">
        <f>IF(D24="Minnesota Vikings",1,0)</f>
        <v>1</v>
      </c>
      <c r="E11" s="23">
        <f>IF(E24="Los Angeles Rams",1,0)</f>
        <v>1</v>
      </c>
      <c r="F11" s="23">
        <f>IF(F24="Baltimore Ravens",1,0)</f>
        <v>0</v>
      </c>
      <c r="G11" s="23">
        <f>IF(G24="Denver Broncos",1,0)</f>
        <v>1</v>
      </c>
      <c r="H11" s="23">
        <f>IF(H24="Las Vegas Raiders",1,0)</f>
        <v>0</v>
      </c>
      <c r="I11" s="23">
        <f>IF(I24="Pittsburgh Steelers",1,0)</f>
        <v>1</v>
      </c>
      <c r="J11" s="23">
        <f>IF(J24="Houston Texans",1,0)</f>
        <v>0</v>
      </c>
      <c r="K11" s="23">
        <f>IF(K24="Tampa Bay Buccaneers",1,0)</f>
        <v>1</v>
      </c>
      <c r="L11" s="23">
        <f>IF(L24="San Francisco 49ers",1,0)</f>
        <v>1</v>
      </c>
      <c r="M11" s="23">
        <f>IF(M24="Buffalo Bills",1,0)</f>
        <v>0</v>
      </c>
      <c r="N11" s="23">
        <f>IF(N24="New England Patriots",1,0)</f>
        <v>1</v>
      </c>
      <c r="O11" s="23">
        <f>IF(O24="Arizona Cardinals",1,0)</f>
        <v>0</v>
      </c>
      <c r="P11" s="23">
        <f>IF(P24="Detroit Lions",1,0)</f>
        <v>0</v>
      </c>
      <c r="Q11" s="23">
        <f>IF(Q24="Kansas City Chiefs",1,0)</f>
        <v>0</v>
      </c>
      <c r="R11" s="23">
        <f>IF(R24="Baltimore Ravens",1,0)</f>
        <v>0</v>
      </c>
      <c r="S11" s="23">
        <f>IF(S24="Tampa Bay Buccaneers",1,0)</f>
        <v>0</v>
      </c>
      <c r="T11" s="23">
        <f>IF(T24="Los Angeles Rams",1,0)</f>
        <v>0</v>
      </c>
      <c r="U11" s="23">
        <f>IF(U24="Tampa Bay Buccaneers",1,0)</f>
        <v>0</v>
      </c>
      <c r="V11" s="23">
        <f>IF(V24="Washington Commanders",1,0)</f>
        <v>0</v>
      </c>
      <c r="W11" s="23">
        <f>IF(W24="Denver Broncos",1,0)</f>
        <v>1</v>
      </c>
      <c r="X11" s="23">
        <f>IF(X24="Jacksonville Jaguars",1,0)</f>
        <v>1</v>
      </c>
      <c r="Y11" s="24">
        <f>IF(Y24="San Francisco 49ers",1,0)</f>
        <v>0</v>
      </c>
      <c r="Z11" s="125"/>
      <c r="AA11" s="127"/>
      <c r="AB11" s="46"/>
      <c r="AC11" s="119"/>
    </row>
    <row r="12" spans="1:29" ht="12" customHeight="1" x14ac:dyDescent="0.25">
      <c r="A12" s="226" t="s">
        <v>69</v>
      </c>
      <c r="B12" s="19" t="s">
        <v>42</v>
      </c>
      <c r="C12" s="20" t="s">
        <v>43</v>
      </c>
      <c r="D12" s="20" t="s">
        <v>60</v>
      </c>
      <c r="E12" s="20" t="s">
        <v>45</v>
      </c>
      <c r="F12" s="20" t="s">
        <v>46</v>
      </c>
      <c r="G12" s="20" t="s">
        <v>47</v>
      </c>
      <c r="H12" s="20" t="s">
        <v>68</v>
      </c>
      <c r="I12" s="20" t="s">
        <v>49</v>
      </c>
      <c r="J12" s="20" t="s">
        <v>50</v>
      </c>
      <c r="K12" s="20" t="s">
        <v>51</v>
      </c>
      <c r="L12" s="20" t="s">
        <v>52</v>
      </c>
      <c r="M12" s="20" t="s">
        <v>53</v>
      </c>
      <c r="N12" s="20" t="s">
        <v>61</v>
      </c>
      <c r="O12" s="20" t="s">
        <v>62</v>
      </c>
      <c r="P12" s="20" t="s">
        <v>56</v>
      </c>
      <c r="Q12" s="20" t="s">
        <v>43</v>
      </c>
      <c r="R12" s="20" t="s">
        <v>46</v>
      </c>
      <c r="S12" s="20" t="s">
        <v>51</v>
      </c>
      <c r="T12" s="21" t="s">
        <v>45</v>
      </c>
      <c r="U12" s="20" t="s">
        <v>51</v>
      </c>
      <c r="V12" s="20" t="s">
        <v>63</v>
      </c>
      <c r="W12" s="20" t="s">
        <v>47</v>
      </c>
      <c r="X12" s="20" t="s">
        <v>55</v>
      </c>
      <c r="Y12" s="20" t="s">
        <v>65</v>
      </c>
      <c r="Z12" s="216">
        <f>SUM(B13:Y13)</f>
        <v>8</v>
      </c>
      <c r="AA12" s="134"/>
      <c r="AB12" s="46"/>
      <c r="AC12" s="119">
        <f t="shared" ref="AC12" si="2">SUM(Z12,AB13)</f>
        <v>8</v>
      </c>
    </row>
    <row r="13" spans="1:29" ht="12" customHeight="1" thickBot="1" x14ac:dyDescent="0.3">
      <c r="A13" s="227"/>
      <c r="B13" s="22">
        <f>IF(B24="Philadelphia Eagles",1,0)</f>
        <v>1</v>
      </c>
      <c r="C13" s="23">
        <f>IF(C24="Kansas City Chiefs",1,0)</f>
        <v>0</v>
      </c>
      <c r="D13" s="23">
        <f>IF(D24="Chicago Bears",1,0)</f>
        <v>0</v>
      </c>
      <c r="E13" s="23">
        <f>IF(E24="Los Angeles Rams",1,0)</f>
        <v>1</v>
      </c>
      <c r="F13" s="23">
        <f>IF(F24="Baltimore Ravens",1,0)</f>
        <v>0</v>
      </c>
      <c r="G13" s="23">
        <f>IF(G24="Denver Broncos",1,0)</f>
        <v>1</v>
      </c>
      <c r="H13" s="23">
        <f>IF(H24="Las Vegas Raiders",1,0)</f>
        <v>0</v>
      </c>
      <c r="I13" s="23">
        <f>IF(I24="Pittsburgh Steelers",1,0)</f>
        <v>1</v>
      </c>
      <c r="J13" s="23">
        <f>IF(J24="Houston Texans",1,0)</f>
        <v>0</v>
      </c>
      <c r="K13" s="23">
        <f>IF(K24="Tampa Bay Buccaneers",1,0)</f>
        <v>1</v>
      </c>
      <c r="L13" s="23">
        <f>IF(L24="New York Giants",1,0)</f>
        <v>0</v>
      </c>
      <c r="M13" s="23">
        <f>IF(M24="Buffalo Bills",1,0)</f>
        <v>0</v>
      </c>
      <c r="N13" s="23">
        <f>IF(N24="New England Patriots",1,0)</f>
        <v>1</v>
      </c>
      <c r="O13" s="23">
        <f>IF(O24="Arizona Cardinals",1,0)</f>
        <v>0</v>
      </c>
      <c r="P13" s="23">
        <f>IF(P24="Detroit Lions",1,0)</f>
        <v>0</v>
      </c>
      <c r="Q13" s="23">
        <f>IF(Q24="Kansas City Chiefs",1,0)</f>
        <v>0</v>
      </c>
      <c r="R13" s="23">
        <f>IF(R24="Baltimore Ravens",1,0)</f>
        <v>0</v>
      </c>
      <c r="S13" s="23">
        <f>IF(S24="Tampa Bay Buccaneers",1,0)</f>
        <v>0</v>
      </c>
      <c r="T13" s="23">
        <f>IF(T24="Los Angeles Rams",1,0)</f>
        <v>0</v>
      </c>
      <c r="U13" s="23">
        <f>IF(U24="Tampa Bay Buccaneers",1,0)</f>
        <v>0</v>
      </c>
      <c r="V13" s="23">
        <f>IF(V24="Washington Commanders",1,0)</f>
        <v>0</v>
      </c>
      <c r="W13" s="23">
        <f>IF(W24="Denver Broncos",1,0)</f>
        <v>1</v>
      </c>
      <c r="X13" s="23">
        <f>IF(X24="Jacksonville Jaguars",1,0)</f>
        <v>1</v>
      </c>
      <c r="Y13" s="24">
        <f>IF(Y24="San Francisco 49ers",1,0)</f>
        <v>0</v>
      </c>
      <c r="Z13" s="125"/>
      <c r="AA13" s="127"/>
      <c r="AB13" s="46"/>
      <c r="AC13" s="119"/>
    </row>
    <row r="14" spans="1:29" ht="12" customHeight="1" x14ac:dyDescent="0.25">
      <c r="A14" s="226" t="s">
        <v>8</v>
      </c>
      <c r="B14" s="19" t="s">
        <v>42</v>
      </c>
      <c r="C14" s="20" t="s">
        <v>59</v>
      </c>
      <c r="D14" s="20" t="s">
        <v>44</v>
      </c>
      <c r="E14" s="20" t="s">
        <v>45</v>
      </c>
      <c r="F14" s="20" t="s">
        <v>46</v>
      </c>
      <c r="G14" s="20" t="s">
        <v>47</v>
      </c>
      <c r="H14" s="20" t="s">
        <v>48</v>
      </c>
      <c r="I14" s="20" t="s">
        <v>49</v>
      </c>
      <c r="J14" s="20" t="s">
        <v>58</v>
      </c>
      <c r="K14" s="20" t="s">
        <v>70</v>
      </c>
      <c r="L14" s="20" t="s">
        <v>65</v>
      </c>
      <c r="M14" s="20" t="s">
        <v>53</v>
      </c>
      <c r="N14" s="20" t="s">
        <v>61</v>
      </c>
      <c r="O14" s="20" t="s">
        <v>62</v>
      </c>
      <c r="P14" s="20" t="s">
        <v>56</v>
      </c>
      <c r="Q14" s="20" t="s">
        <v>57</v>
      </c>
      <c r="R14" s="20" t="s">
        <v>46</v>
      </c>
      <c r="S14" s="20" t="s">
        <v>51</v>
      </c>
      <c r="T14" s="21" t="s">
        <v>58</v>
      </c>
      <c r="U14" s="20" t="s">
        <v>51</v>
      </c>
      <c r="V14" s="20" t="s">
        <v>57</v>
      </c>
      <c r="W14" s="20" t="s">
        <v>59</v>
      </c>
      <c r="X14" s="20" t="s">
        <v>55</v>
      </c>
      <c r="Y14" s="20" t="s">
        <v>58</v>
      </c>
      <c r="Z14" s="216">
        <f>SUM(B15:Y15)</f>
        <v>15</v>
      </c>
      <c r="AA14" s="134"/>
      <c r="AB14" s="46"/>
      <c r="AC14" s="119">
        <f t="shared" ref="AC14" si="3">SUM(Z14,AB15)</f>
        <v>15</v>
      </c>
    </row>
    <row r="15" spans="1:29" ht="12" customHeight="1" thickBot="1" x14ac:dyDescent="0.3">
      <c r="A15" s="227"/>
      <c r="B15" s="22">
        <f>IF(B24="Philadelphia Eagles",1,0)</f>
        <v>1</v>
      </c>
      <c r="C15" s="23">
        <f>IF(C24="Los Angeles Chargers",1,0)</f>
        <v>1</v>
      </c>
      <c r="D15" s="23">
        <f>IF(D24="Minnesota Vikings",1,0)</f>
        <v>1</v>
      </c>
      <c r="E15" s="23">
        <f>IF(E24="Los Angeles Rams",1,0)</f>
        <v>1</v>
      </c>
      <c r="F15" s="23">
        <f>IF(F24="Baltimore Ravens",1,0)</f>
        <v>0</v>
      </c>
      <c r="G15" s="23">
        <f>IF(G24="Denver Broncos",1,0)</f>
        <v>1</v>
      </c>
      <c r="H15" s="23">
        <f>IF(H24="Indianapolis Colts",1,0)</f>
        <v>1</v>
      </c>
      <c r="I15" s="23">
        <f>IF(I24="Pittsburgh Steelers",1,0)</f>
        <v>1</v>
      </c>
      <c r="J15" s="23">
        <f>IF(J24="Seattle Seahawks",1,0)</f>
        <v>1</v>
      </c>
      <c r="K15" s="23">
        <f>IF(K24="New Orleans Saints",1,0)</f>
        <v>0</v>
      </c>
      <c r="L15" s="23">
        <f>IF(L24="San Francisco 49ers",1,0)</f>
        <v>1</v>
      </c>
      <c r="M15" s="23">
        <f>IF(M24="Buffalo Bills",1,0)</f>
        <v>0</v>
      </c>
      <c r="N15" s="23">
        <f>IF(N24="New England Patriots",1,0)</f>
        <v>1</v>
      </c>
      <c r="O15" s="23">
        <f>IF(O24="Arizona Cardinals",1,0)</f>
        <v>0</v>
      </c>
      <c r="P15" s="23">
        <f>IF(P24="Detroit Lions",1,0)</f>
        <v>0</v>
      </c>
      <c r="Q15" s="23">
        <f>IF(Q24="Dallas Cowboys",1,0)</f>
        <v>1</v>
      </c>
      <c r="R15" s="23">
        <f>IF(R24="Baltimore Ravens",1,0)</f>
        <v>0</v>
      </c>
      <c r="S15" s="23">
        <f>IF(S24="Tampa Bay Buccaneers",1,0)</f>
        <v>0</v>
      </c>
      <c r="T15" s="23">
        <f>IF(T24="Seattle Seahawks",1,0)</f>
        <v>1</v>
      </c>
      <c r="U15" s="23">
        <f>IF(U24="Tampa Bay Buccaneers",1,0)</f>
        <v>0</v>
      </c>
      <c r="V15" s="23">
        <f>IF(V24="Dallas Cowboys",1,0)</f>
        <v>1</v>
      </c>
      <c r="W15" s="23">
        <f>IF(W24="Los Angeles Chargers",1,0)</f>
        <v>0</v>
      </c>
      <c r="X15" s="23">
        <f>IF(X24="Jacksonville Jaguars",1,0)</f>
        <v>1</v>
      </c>
      <c r="Y15" s="24">
        <f>IF(Y24="Seattle Seahawks",1,0)</f>
        <v>1</v>
      </c>
      <c r="Z15" s="125"/>
      <c r="AA15" s="127"/>
      <c r="AB15" s="46"/>
      <c r="AC15" s="119"/>
    </row>
    <row r="16" spans="1:29" ht="12" customHeight="1" x14ac:dyDescent="0.25">
      <c r="A16" s="226" t="s">
        <v>9</v>
      </c>
      <c r="B16" s="19" t="s">
        <v>42</v>
      </c>
      <c r="C16" s="20" t="s">
        <v>43</v>
      </c>
      <c r="D16" s="20" t="s">
        <v>44</v>
      </c>
      <c r="E16" s="20" t="s">
        <v>45</v>
      </c>
      <c r="F16" s="20" t="s">
        <v>56</v>
      </c>
      <c r="G16" s="20" t="s">
        <v>47</v>
      </c>
      <c r="H16" s="20" t="s">
        <v>68</v>
      </c>
      <c r="I16" s="20" t="s">
        <v>49</v>
      </c>
      <c r="J16" s="20" t="s">
        <v>58</v>
      </c>
      <c r="K16" s="20" t="s">
        <v>51</v>
      </c>
      <c r="L16" s="20" t="s">
        <v>52</v>
      </c>
      <c r="M16" s="20" t="s">
        <v>71</v>
      </c>
      <c r="N16" s="20" t="s">
        <v>61</v>
      </c>
      <c r="O16" s="20" t="s">
        <v>62</v>
      </c>
      <c r="P16" s="20" t="s">
        <v>56</v>
      </c>
      <c r="Q16" s="20" t="s">
        <v>43</v>
      </c>
      <c r="R16" s="20" t="s">
        <v>46</v>
      </c>
      <c r="S16" s="20" t="s">
        <v>72</v>
      </c>
      <c r="T16" s="21" t="s">
        <v>45</v>
      </c>
      <c r="U16" s="20" t="s">
        <v>73</v>
      </c>
      <c r="V16" s="20" t="s">
        <v>57</v>
      </c>
      <c r="W16" s="20" t="s">
        <v>47</v>
      </c>
      <c r="X16" s="20" t="s">
        <v>55</v>
      </c>
      <c r="Y16" s="20" t="s">
        <v>65</v>
      </c>
      <c r="Z16" s="216">
        <f>SUM(B17:Y17)</f>
        <v>15</v>
      </c>
      <c r="AA16" s="134"/>
      <c r="AB16" s="46"/>
      <c r="AC16" s="119">
        <f t="shared" ref="AC16" si="4">SUM(Z16,AB17)</f>
        <v>15</v>
      </c>
    </row>
    <row r="17" spans="1:53" ht="12" customHeight="1" thickBot="1" x14ac:dyDescent="0.3">
      <c r="A17" s="227"/>
      <c r="B17" s="22">
        <f>IF(B24="Philadelphia Eagles",1,0)</f>
        <v>1</v>
      </c>
      <c r="C17" s="23">
        <f>IF(C24="Kansas City Chiefs",1,0)</f>
        <v>0</v>
      </c>
      <c r="D17" s="23">
        <f>IF(D24="Minnesota Vikings",1,0)</f>
        <v>1</v>
      </c>
      <c r="E17" s="23">
        <f>IF(E24="Los Angeles Rams",1,0)</f>
        <v>1</v>
      </c>
      <c r="F17" s="23">
        <f>IF(F24="Detroit Lions",1,0)</f>
        <v>1</v>
      </c>
      <c r="G17" s="23">
        <f>IF(G24="Denver Broncos",1,0)</f>
        <v>1</v>
      </c>
      <c r="H17" s="23">
        <f>IF(H24="Las Vegas Raiders",1,0)</f>
        <v>0</v>
      </c>
      <c r="I17" s="23">
        <f>IF(I24="Pittsburgh Steelers",1,0)</f>
        <v>1</v>
      </c>
      <c r="J17" s="23">
        <f>IF(J24="Seattle Seahawks",1,0)</f>
        <v>1</v>
      </c>
      <c r="K17" s="23">
        <f>IF(K24="Tampa Bay Buccaneers",1,0)</f>
        <v>1</v>
      </c>
      <c r="L17" s="23">
        <f>IF(L24="New York Giants",1,0)</f>
        <v>0</v>
      </c>
      <c r="M17" s="23">
        <f>IF(M24="Miami Dolphins",1,0)</f>
        <v>1</v>
      </c>
      <c r="N17" s="23">
        <f>IF(N24="New England Patriots",1,0)</f>
        <v>1</v>
      </c>
      <c r="O17" s="23">
        <f>IF(O24="Arizona Cardinals",1,0)</f>
        <v>0</v>
      </c>
      <c r="P17" s="23">
        <f>IF(P24="Detroit Lions",1,0)</f>
        <v>0</v>
      </c>
      <c r="Q17" s="23">
        <f>IF(Q24="Kansas City Chiefs",1,0)</f>
        <v>0</v>
      </c>
      <c r="R17" s="23">
        <f>IF(R24="Baltimore Ravens",1,0)</f>
        <v>0</v>
      </c>
      <c r="S17" s="23">
        <f>IF(S24="Atlanta Falcons",1,0)</f>
        <v>1</v>
      </c>
      <c r="T17" s="23">
        <f>IF(T24="Los Angeles Rams",1,0)</f>
        <v>0</v>
      </c>
      <c r="U17" s="23">
        <f>IF(U24="Carolina Panthers",1,0)</f>
        <v>1</v>
      </c>
      <c r="V17" s="23">
        <f>IF(V24="Dallas Cowboys",1,0)</f>
        <v>1</v>
      </c>
      <c r="W17" s="23">
        <f>IF(W24="Denver Broncos",1,0)</f>
        <v>1</v>
      </c>
      <c r="X17" s="23">
        <f>IF(X24="Jacksonville Jaguars",1,0)</f>
        <v>1</v>
      </c>
      <c r="Y17" s="24">
        <f>IF(Y24="San Francisco 49ers",1,0)</f>
        <v>0</v>
      </c>
      <c r="Z17" s="125"/>
      <c r="AA17" s="127"/>
      <c r="AB17" s="46"/>
      <c r="AC17" s="119"/>
    </row>
    <row r="18" spans="1:53" ht="12" customHeight="1" x14ac:dyDescent="0.25">
      <c r="A18" s="226" t="s">
        <v>10</v>
      </c>
      <c r="B18" s="19" t="s">
        <v>42</v>
      </c>
      <c r="C18" s="20" t="s">
        <v>43</v>
      </c>
      <c r="D18" s="20" t="s">
        <v>44</v>
      </c>
      <c r="E18" s="20" t="s">
        <v>64</v>
      </c>
      <c r="F18" s="20" t="s">
        <v>46</v>
      </c>
      <c r="G18" s="20" t="s">
        <v>47</v>
      </c>
      <c r="H18" s="20" t="s">
        <v>68</v>
      </c>
      <c r="I18" s="20" t="s">
        <v>49</v>
      </c>
      <c r="J18" s="20" t="s">
        <v>58</v>
      </c>
      <c r="K18" s="20" t="s">
        <v>51</v>
      </c>
      <c r="L18" s="20" t="s">
        <v>52</v>
      </c>
      <c r="M18" s="20" t="s">
        <v>53</v>
      </c>
      <c r="N18" s="20" t="s">
        <v>54</v>
      </c>
      <c r="O18" s="20" t="s">
        <v>55</v>
      </c>
      <c r="P18" s="20" t="s">
        <v>56</v>
      </c>
      <c r="Q18" s="20" t="s">
        <v>43</v>
      </c>
      <c r="R18" s="20" t="s">
        <v>46</v>
      </c>
      <c r="S18" s="20" t="s">
        <v>51</v>
      </c>
      <c r="T18" s="21" t="s">
        <v>45</v>
      </c>
      <c r="U18" s="20" t="s">
        <v>51</v>
      </c>
      <c r="V18" s="20" t="s">
        <v>63</v>
      </c>
      <c r="W18" s="20" t="s">
        <v>59</v>
      </c>
      <c r="X18" s="20" t="s">
        <v>55</v>
      </c>
      <c r="Y18" s="20" t="s">
        <v>58</v>
      </c>
      <c r="Z18" s="216">
        <f>SUM(B19:Y19)</f>
        <v>9</v>
      </c>
      <c r="AA18" s="134"/>
      <c r="AB18" s="46"/>
      <c r="AC18" s="119">
        <f t="shared" ref="AC18" si="5">SUM(Z18,AB19)</f>
        <v>9</v>
      </c>
    </row>
    <row r="19" spans="1:53" ht="12" customHeight="1" thickBot="1" x14ac:dyDescent="0.3">
      <c r="A19" s="227"/>
      <c r="B19" s="22">
        <f>IF(B24="Philadelphia Eagles",1,0)</f>
        <v>1</v>
      </c>
      <c r="C19" s="23">
        <f>IF(C24="Kansas City Chiefs",1,0)</f>
        <v>0</v>
      </c>
      <c r="D19" s="23">
        <f>IF(D24="Minnesota Vikings",1,0)</f>
        <v>1</v>
      </c>
      <c r="E19" s="23">
        <f>IF(E24="Tennessee Titans",1,0)</f>
        <v>0</v>
      </c>
      <c r="F19" s="23">
        <f>IF(F24="Baltimore Ravens",1,0)</f>
        <v>0</v>
      </c>
      <c r="G19" s="23">
        <f>IF(G24="Denver Broncos",1,0)</f>
        <v>1</v>
      </c>
      <c r="H19" s="23">
        <f>IF(H24="Las Vegas Raiders",1,0)</f>
        <v>0</v>
      </c>
      <c r="I19" s="23">
        <f>IF(I24="Pittsburgh Steelers",1,0)</f>
        <v>1</v>
      </c>
      <c r="J19" s="23">
        <f>IF(J24="Seattle Seahawks",1,0)</f>
        <v>1</v>
      </c>
      <c r="K19" s="23">
        <f>IF(K24="Tampa Bay Buccaneers",1,0)</f>
        <v>1</v>
      </c>
      <c r="L19" s="23">
        <f>IF(L24="New York Giants",1,0)</f>
        <v>0</v>
      </c>
      <c r="M19" s="23">
        <f>IF(M24="Buffalo Bills",1,0)</f>
        <v>0</v>
      </c>
      <c r="N19" s="23">
        <f>IF(N24="New York Jets",1,0)</f>
        <v>0</v>
      </c>
      <c r="O19" s="23">
        <f>IF(O24="Jacksonville Jaguars",1,0)</f>
        <v>1</v>
      </c>
      <c r="P19" s="23">
        <f>IF(P24="Detroit Lions",1,0)</f>
        <v>0</v>
      </c>
      <c r="Q19" s="23">
        <f>IF(Q24="Kansas City Chiefs",1,0)</f>
        <v>0</v>
      </c>
      <c r="R19" s="23">
        <f>IF(R24="Baltimore Ravens",1,0)</f>
        <v>0</v>
      </c>
      <c r="S19" s="23">
        <f>IF(S24="Tampa Bay Buccaneers",1,0)</f>
        <v>0</v>
      </c>
      <c r="T19" s="23">
        <f>IF(T24="Los Angeles Rams",1,0)</f>
        <v>0</v>
      </c>
      <c r="U19" s="23">
        <f>IF(U24="Tampa Bay Buccaneers",1,0)</f>
        <v>0</v>
      </c>
      <c r="V19" s="23">
        <f>IF(V24="Washington Commanders",1,0)</f>
        <v>0</v>
      </c>
      <c r="W19" s="23">
        <f>IF(W24="Los Angeles Chargers",1,0)</f>
        <v>0</v>
      </c>
      <c r="X19" s="23">
        <f>IF(X24="Jacksonville Jaguars",1,0)</f>
        <v>1</v>
      </c>
      <c r="Y19" s="24">
        <f>IF(Y24="Seattle Seahawks",1,0)</f>
        <v>1</v>
      </c>
      <c r="Z19" s="125"/>
      <c r="AA19" s="127"/>
      <c r="AB19" s="46"/>
      <c r="AC19" s="119"/>
    </row>
    <row r="20" spans="1:53" ht="12" customHeight="1" x14ac:dyDescent="0.25">
      <c r="A20" s="247" t="s">
        <v>74</v>
      </c>
      <c r="B20" s="19" t="s">
        <v>42</v>
      </c>
      <c r="C20" s="20" t="s">
        <v>43</v>
      </c>
      <c r="D20" s="20" t="s">
        <v>60</v>
      </c>
      <c r="E20" s="20" t="s">
        <v>45</v>
      </c>
      <c r="F20" s="20" t="s">
        <v>46</v>
      </c>
      <c r="G20" s="20" t="s">
        <v>47</v>
      </c>
      <c r="H20" s="20" t="s">
        <v>48</v>
      </c>
      <c r="I20" s="20" t="s">
        <v>49</v>
      </c>
      <c r="J20" s="20" t="s">
        <v>50</v>
      </c>
      <c r="K20" s="20" t="s">
        <v>51</v>
      </c>
      <c r="L20" s="20" t="s">
        <v>65</v>
      </c>
      <c r="M20" s="20" t="s">
        <v>53</v>
      </c>
      <c r="N20" s="20" t="s">
        <v>61</v>
      </c>
      <c r="O20" s="20" t="s">
        <v>62</v>
      </c>
      <c r="P20" s="20" t="s">
        <v>56</v>
      </c>
      <c r="Q20" s="20" t="s">
        <v>43</v>
      </c>
      <c r="R20" s="20" t="s">
        <v>46</v>
      </c>
      <c r="S20" s="20" t="s">
        <v>51</v>
      </c>
      <c r="T20" s="21" t="s">
        <v>45</v>
      </c>
      <c r="U20" s="20" t="s">
        <v>51</v>
      </c>
      <c r="V20" s="20" t="s">
        <v>63</v>
      </c>
      <c r="W20" s="20" t="s">
        <v>47</v>
      </c>
      <c r="X20" s="20" t="s">
        <v>55</v>
      </c>
      <c r="Y20" s="20" t="s">
        <v>65</v>
      </c>
      <c r="Z20" s="216">
        <f>SUM(B21:Y21)</f>
        <v>10</v>
      </c>
      <c r="AA20" s="134"/>
      <c r="AB20" s="46"/>
      <c r="AC20" s="119">
        <f t="shared" ref="AC20" si="6">SUM(Z20,AB21)</f>
        <v>10</v>
      </c>
    </row>
    <row r="21" spans="1:53" ht="12" customHeight="1" thickBot="1" x14ac:dyDescent="0.3">
      <c r="A21" s="227"/>
      <c r="B21" s="22">
        <f>IF(B24="Philadelphia Eagles",1,0)</f>
        <v>1</v>
      </c>
      <c r="C21" s="23">
        <f>IF(C24="Kansas City Chiefs",1,0)</f>
        <v>0</v>
      </c>
      <c r="D21" s="23">
        <f>IF(D24="Chicago Bears",1,0)</f>
        <v>0</v>
      </c>
      <c r="E21" s="23">
        <f>IF(E24="Los Angeles Rams",1,0)</f>
        <v>1</v>
      </c>
      <c r="F21" s="23">
        <f>IF(F24="Baltimore Ravens",1,0)</f>
        <v>0</v>
      </c>
      <c r="G21" s="23">
        <f>IF(G24="Denver Broncos",1,0)</f>
        <v>1</v>
      </c>
      <c r="H21" s="23">
        <f>IF(H24="Indianapolis Colts",1,0)</f>
        <v>1</v>
      </c>
      <c r="I21" s="23">
        <f>IF(I24="Pittsburgh Steelers",1,0)</f>
        <v>1</v>
      </c>
      <c r="J21" s="23">
        <f>IF(J24="Houston Texans",1,0)</f>
        <v>0</v>
      </c>
      <c r="K21" s="23">
        <f>IF(K24="Tampa Bay Buccaneers",1,0)</f>
        <v>1</v>
      </c>
      <c r="L21" s="23">
        <f>IF(L24="San Francisco 49ers",1,0)</f>
        <v>1</v>
      </c>
      <c r="M21" s="23">
        <f>IF(M24="Buffalo Bills",1,0)</f>
        <v>0</v>
      </c>
      <c r="N21" s="23">
        <f>IF(N24="New England Patriots",1,0)</f>
        <v>1</v>
      </c>
      <c r="O21" s="23">
        <f>IF(O24="Arizona Cardinals",1,0)</f>
        <v>0</v>
      </c>
      <c r="P21" s="23">
        <f>IF(P24="Detroit Lions",1,0)</f>
        <v>0</v>
      </c>
      <c r="Q21" s="23">
        <f>IF(Q24="Kansas City Chiefs",1,0)</f>
        <v>0</v>
      </c>
      <c r="R21" s="23">
        <f>IF(R24="Baltimore Ravens",1,0)</f>
        <v>0</v>
      </c>
      <c r="S21" s="23">
        <f>IF(S24="Tampa Bay Buccaneers",1,0)</f>
        <v>0</v>
      </c>
      <c r="T21" s="23">
        <f>IF(T24="Los Angeles Rams",1,0)</f>
        <v>0</v>
      </c>
      <c r="U21" s="23">
        <f>IF(U24="Tampa Bay Buccaneers",1,0)</f>
        <v>0</v>
      </c>
      <c r="V21" s="23">
        <f>IF(V24="Washington Commanders",1,0)</f>
        <v>0</v>
      </c>
      <c r="W21" s="23">
        <f>IF(W24="Denver Broncos",1,0)</f>
        <v>1</v>
      </c>
      <c r="X21" s="23">
        <f>IF(X24="Jacksonville Jaguars",1,0)</f>
        <v>1</v>
      </c>
      <c r="Y21" s="23">
        <f>IF(Y24="San Francisco 49ers",1,0)</f>
        <v>0</v>
      </c>
      <c r="Z21" s="125"/>
      <c r="AA21" s="127"/>
      <c r="AB21" s="46"/>
      <c r="AC21" s="119"/>
    </row>
    <row r="22" spans="1:53" ht="12" customHeight="1" x14ac:dyDescent="0.25">
      <c r="A22" s="214" t="s">
        <v>12</v>
      </c>
      <c r="B22" s="19" t="s">
        <v>42</v>
      </c>
      <c r="C22" s="20" t="s">
        <v>43</v>
      </c>
      <c r="D22" s="20" t="s">
        <v>44</v>
      </c>
      <c r="E22" s="20" t="s">
        <v>64</v>
      </c>
      <c r="F22" s="20" t="s">
        <v>46</v>
      </c>
      <c r="G22" s="20" t="s">
        <v>75</v>
      </c>
      <c r="H22" s="20" t="s">
        <v>68</v>
      </c>
      <c r="I22" s="20" t="s">
        <v>49</v>
      </c>
      <c r="J22" s="20" t="s">
        <v>58</v>
      </c>
      <c r="K22" s="20" t="s">
        <v>70</v>
      </c>
      <c r="L22" s="20" t="s">
        <v>65</v>
      </c>
      <c r="M22" s="20" t="s">
        <v>53</v>
      </c>
      <c r="N22" s="20" t="s">
        <v>61</v>
      </c>
      <c r="O22" s="20" t="s">
        <v>55</v>
      </c>
      <c r="P22" s="20" t="s">
        <v>67</v>
      </c>
      <c r="Q22" s="20" t="s">
        <v>43</v>
      </c>
      <c r="R22" s="20" t="s">
        <v>46</v>
      </c>
      <c r="S22" s="20" t="s">
        <v>51</v>
      </c>
      <c r="T22" s="21" t="s">
        <v>58</v>
      </c>
      <c r="U22" s="20" t="s">
        <v>73</v>
      </c>
      <c r="V22" s="20" t="s">
        <v>63</v>
      </c>
      <c r="W22" s="20" t="s">
        <v>59</v>
      </c>
      <c r="X22" s="20" t="s">
        <v>64</v>
      </c>
      <c r="Y22" s="20" t="s">
        <v>65</v>
      </c>
      <c r="Z22" s="216">
        <f>SUM(B23:Y23)</f>
        <v>10</v>
      </c>
      <c r="AA22" s="134"/>
      <c r="AB22" s="46"/>
      <c r="AC22" s="119">
        <f t="shared" ref="AC22" si="7">SUM(Z22,AB23)</f>
        <v>10</v>
      </c>
    </row>
    <row r="23" spans="1:53" ht="12" customHeight="1" thickBot="1" x14ac:dyDescent="0.3">
      <c r="A23" s="215"/>
      <c r="B23" s="22">
        <f>IF(B24="Philadelphia Eagles",1,0)</f>
        <v>1</v>
      </c>
      <c r="C23" s="23">
        <f>IF(C24="Kansas City Chiefs",1,0)</f>
        <v>0</v>
      </c>
      <c r="D23" s="23">
        <f>IF(D24="Minnesota Vikings",1,0)</f>
        <v>1</v>
      </c>
      <c r="E23" s="23">
        <f>IF(E24="Tennessee Titans",1,0)</f>
        <v>0</v>
      </c>
      <c r="F23" s="23">
        <f>IF(F24="Baltimore Ravens",1,0)</f>
        <v>0</v>
      </c>
      <c r="G23" s="23">
        <f>IF(G24="Cincinnati Bengals",1,0)</f>
        <v>0</v>
      </c>
      <c r="H23" s="23">
        <f>IF(H24="Las Vegas Raiders",1,0)</f>
        <v>0</v>
      </c>
      <c r="I23" s="23">
        <f>IF(I24="Pittsburgh Steelers",1,0)</f>
        <v>1</v>
      </c>
      <c r="J23" s="23">
        <f>IF(J24="Seattle Seahawks",1,0)</f>
        <v>1</v>
      </c>
      <c r="K23" s="23">
        <f>IF(K24="New Orleans Saints",1,0)</f>
        <v>0</v>
      </c>
      <c r="L23" s="23">
        <f>IF(L24="San Francisco 49ers",1,0)</f>
        <v>1</v>
      </c>
      <c r="M23" s="23">
        <f>IF(M24="Buffalo Bills",1,0)</f>
        <v>0</v>
      </c>
      <c r="N23" s="23">
        <f>IF(N24="New England Patriots",1,0)</f>
        <v>1</v>
      </c>
      <c r="O23" s="23">
        <f>IF(O24="Jacksonville Jaguars",1,0)</f>
        <v>1</v>
      </c>
      <c r="P23" s="23">
        <f>IF(P24="Green Bay Packers",1,0)</f>
        <v>1</v>
      </c>
      <c r="Q23" s="23">
        <f>IF(Q24="Kansas City Chiefs",1,0)</f>
        <v>0</v>
      </c>
      <c r="R23" s="23">
        <f>IF(R24="Baltimore Ravens",1,0)</f>
        <v>0</v>
      </c>
      <c r="S23" s="23">
        <f>IF(S24="Tampa Bay Buccaneers",1,0)</f>
        <v>0</v>
      </c>
      <c r="T23" s="23">
        <f>IF(T24="Seattle Seahawks",1,0)</f>
        <v>1</v>
      </c>
      <c r="U23" s="23">
        <f>IF(U24="Carolina Panthers",1,0)</f>
        <v>1</v>
      </c>
      <c r="V23" s="23">
        <f>IF(V24="Washington Commanders",1,0)</f>
        <v>0</v>
      </c>
      <c r="W23" s="23">
        <f>IF(W24="Los Angeles Chargers",1,0)</f>
        <v>0</v>
      </c>
      <c r="X23" s="23">
        <f>IF(X24="Tennessee Titans",1,0)</f>
        <v>0</v>
      </c>
      <c r="Y23" s="24">
        <f>IF(Y24="San Francisco 49ers",1,0)</f>
        <v>0</v>
      </c>
      <c r="Z23" s="125"/>
      <c r="AA23" s="127"/>
      <c r="AB23" s="46"/>
      <c r="AC23" s="119"/>
    </row>
    <row r="24" spans="1:53" ht="13.5" customHeight="1" thickBot="1" x14ac:dyDescent="0.3">
      <c r="A24" s="26" t="s">
        <v>76</v>
      </c>
      <c r="B24" s="75" t="s">
        <v>77</v>
      </c>
      <c r="C24" s="75" t="s">
        <v>78</v>
      </c>
      <c r="D24" s="75" t="s">
        <v>79</v>
      </c>
      <c r="E24" s="75" t="s">
        <v>80</v>
      </c>
      <c r="F24" s="75" t="s">
        <v>111</v>
      </c>
      <c r="G24" s="75" t="s">
        <v>110</v>
      </c>
      <c r="H24" s="75" t="s">
        <v>114</v>
      </c>
      <c r="I24" s="75" t="s">
        <v>123</v>
      </c>
      <c r="J24" s="75" t="s">
        <v>125</v>
      </c>
      <c r="K24" s="75" t="s">
        <v>126</v>
      </c>
      <c r="L24" s="75" t="s">
        <v>124</v>
      </c>
      <c r="M24" s="75" t="s">
        <v>118</v>
      </c>
      <c r="N24" s="75" t="s">
        <v>119</v>
      </c>
      <c r="O24" s="75" t="s">
        <v>115</v>
      </c>
      <c r="P24" s="75" t="s">
        <v>112</v>
      </c>
      <c r="Q24" s="75" t="s">
        <v>109</v>
      </c>
      <c r="R24" s="75" t="s">
        <v>123</v>
      </c>
      <c r="S24" s="75" t="s">
        <v>102</v>
      </c>
      <c r="T24" s="75" t="s">
        <v>125</v>
      </c>
      <c r="U24" s="75" t="s">
        <v>105</v>
      </c>
      <c r="V24" s="75" t="s">
        <v>109</v>
      </c>
      <c r="W24" s="75" t="s">
        <v>110</v>
      </c>
      <c r="X24" s="75" t="s">
        <v>115</v>
      </c>
      <c r="Y24" s="75" t="s">
        <v>125</v>
      </c>
      <c r="Z24" s="27"/>
      <c r="AA24" s="28"/>
      <c r="AB24" s="30"/>
      <c r="AC24" s="30"/>
    </row>
    <row r="25" spans="1:53" ht="11.25" customHeight="1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</row>
    <row r="26" spans="1:53" ht="11.25" customHeight="1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</row>
    <row r="27" spans="1:53" ht="11.25" customHeight="1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</row>
    <row r="28" spans="1:53" ht="14.25" customHeight="1" thickTop="1" thickBot="1" x14ac:dyDescent="0.3">
      <c r="A28" s="217" t="s">
        <v>81</v>
      </c>
      <c r="B28" s="220" t="s">
        <v>82</v>
      </c>
      <c r="C28" s="221"/>
      <c r="D28" s="221"/>
      <c r="E28" s="221"/>
      <c r="F28" s="221"/>
      <c r="G28" s="221"/>
      <c r="H28" s="221"/>
      <c r="I28" s="221"/>
      <c r="J28" s="222"/>
      <c r="K28" s="31"/>
      <c r="L28" s="220" t="s">
        <v>83</v>
      </c>
      <c r="M28" s="221"/>
      <c r="N28" s="221"/>
      <c r="O28" s="221"/>
      <c r="P28" s="221"/>
      <c r="Q28" s="221"/>
      <c r="R28" s="222"/>
      <c r="S28" s="71"/>
      <c r="T28" s="32" t="s">
        <v>84</v>
      </c>
      <c r="U28" s="33"/>
      <c r="V28" s="33"/>
      <c r="W28" s="34"/>
      <c r="X28" s="146" t="s">
        <v>85</v>
      </c>
      <c r="Y28" s="223"/>
      <c r="Z28" s="147"/>
      <c r="AA28" s="71"/>
      <c r="AB28" s="71"/>
      <c r="AC28" s="71"/>
      <c r="AD28" s="71"/>
      <c r="AE28" s="146" t="s">
        <v>86</v>
      </c>
      <c r="AF28" s="147"/>
      <c r="AG28" s="146" t="s">
        <v>87</v>
      </c>
      <c r="AH28" s="152"/>
      <c r="AI28" s="155" t="s">
        <v>88</v>
      </c>
      <c r="AJ28" s="156"/>
      <c r="AK28" s="157"/>
      <c r="AL28" s="164" t="s">
        <v>89</v>
      </c>
      <c r="AM28" s="165"/>
      <c r="AN28" s="165"/>
      <c r="AO28" s="165"/>
      <c r="AP28" s="165"/>
      <c r="AQ28" s="165"/>
    </row>
    <row r="29" spans="1:53" ht="14.25" customHeight="1" x14ac:dyDescent="0.25">
      <c r="A29" s="218"/>
      <c r="B29" s="200" t="s">
        <v>90</v>
      </c>
      <c r="C29" s="201"/>
      <c r="D29" s="201"/>
      <c r="E29" s="201"/>
      <c r="F29" s="35"/>
      <c r="G29" s="202" t="s">
        <v>91</v>
      </c>
      <c r="H29" s="201"/>
      <c r="I29" s="201"/>
      <c r="J29" s="203"/>
      <c r="K29" s="36"/>
      <c r="L29" s="204" t="s">
        <v>90</v>
      </c>
      <c r="M29" s="205"/>
      <c r="N29" s="205"/>
      <c r="O29" s="35"/>
      <c r="P29" s="208" t="s">
        <v>91</v>
      </c>
      <c r="Q29" s="205"/>
      <c r="R29" s="209"/>
      <c r="S29" s="31"/>
      <c r="T29" s="204" t="s">
        <v>90</v>
      </c>
      <c r="U29" s="212"/>
      <c r="V29" s="208" t="s">
        <v>91</v>
      </c>
      <c r="W29" s="209"/>
      <c r="X29" s="148"/>
      <c r="Y29" s="224"/>
      <c r="Z29" s="149"/>
      <c r="AA29" s="71"/>
      <c r="AB29" s="265" t="s">
        <v>133</v>
      </c>
      <c r="AC29" s="71"/>
      <c r="AD29" s="71"/>
      <c r="AE29" s="148"/>
      <c r="AF29" s="149"/>
      <c r="AG29" s="148"/>
      <c r="AH29" s="153"/>
      <c r="AI29" s="158"/>
      <c r="AJ29" s="159"/>
      <c r="AK29" s="160"/>
      <c r="AL29" s="164"/>
      <c r="AM29" s="165"/>
      <c r="AN29" s="165"/>
      <c r="AO29" s="165"/>
      <c r="AP29" s="165"/>
      <c r="AQ29" s="165"/>
      <c r="AR29" s="145" t="s">
        <v>92</v>
      </c>
      <c r="AS29" s="145"/>
      <c r="AT29" s="145"/>
      <c r="AU29" s="145"/>
      <c r="AV29" s="145"/>
      <c r="AW29" s="145"/>
      <c r="AX29" s="145"/>
      <c r="AY29" s="145"/>
      <c r="AZ29" s="145"/>
    </row>
    <row r="30" spans="1:53" ht="14.25" customHeight="1" thickBot="1" x14ac:dyDescent="0.3">
      <c r="A30" s="219"/>
      <c r="B30" s="37" t="s">
        <v>93</v>
      </c>
      <c r="C30" s="38" t="s">
        <v>94</v>
      </c>
      <c r="D30" s="39" t="s">
        <v>95</v>
      </c>
      <c r="E30" s="39" t="s">
        <v>96</v>
      </c>
      <c r="F30" s="40"/>
      <c r="G30" s="39" t="s">
        <v>93</v>
      </c>
      <c r="H30" s="39" t="s">
        <v>94</v>
      </c>
      <c r="I30" s="39" t="s">
        <v>95</v>
      </c>
      <c r="J30" s="39" t="s">
        <v>96</v>
      </c>
      <c r="K30" s="36"/>
      <c r="L30" s="206"/>
      <c r="M30" s="207"/>
      <c r="N30" s="207"/>
      <c r="O30" s="41"/>
      <c r="P30" s="210"/>
      <c r="Q30" s="207"/>
      <c r="R30" s="211"/>
      <c r="S30" s="36"/>
      <c r="T30" s="206"/>
      <c r="U30" s="213"/>
      <c r="V30" s="210"/>
      <c r="W30" s="211"/>
      <c r="X30" s="150"/>
      <c r="Y30" s="225"/>
      <c r="Z30" s="151"/>
      <c r="AA30" s="42" t="s">
        <v>138</v>
      </c>
      <c r="AB30" s="265"/>
      <c r="AC30" s="52" t="s">
        <v>135</v>
      </c>
      <c r="AD30" s="43"/>
      <c r="AE30" s="150"/>
      <c r="AF30" s="151"/>
      <c r="AG30" s="150"/>
      <c r="AH30" s="154"/>
      <c r="AI30" s="161"/>
      <c r="AJ30" s="162"/>
      <c r="AK30" s="163"/>
      <c r="AL30" s="164"/>
      <c r="AM30" s="165"/>
      <c r="AN30" s="165"/>
      <c r="AO30" s="165"/>
      <c r="AP30" s="165"/>
      <c r="AQ30" s="165"/>
    </row>
    <row r="31" spans="1:53" ht="14.25" customHeight="1" x14ac:dyDescent="0.25">
      <c r="A31" s="315" t="s">
        <v>3</v>
      </c>
      <c r="B31" s="316" t="s">
        <v>53</v>
      </c>
      <c r="C31" s="317" t="s">
        <v>49</v>
      </c>
      <c r="D31" s="317" t="s">
        <v>48</v>
      </c>
      <c r="E31" s="317" t="s">
        <v>43</v>
      </c>
      <c r="F31" s="91"/>
      <c r="G31" s="317" t="s">
        <v>42</v>
      </c>
      <c r="H31" s="317" t="s">
        <v>44</v>
      </c>
      <c r="I31" s="317" t="s">
        <v>51</v>
      </c>
      <c r="J31" s="318" t="s">
        <v>45</v>
      </c>
      <c r="K31" s="93"/>
      <c r="L31" s="316" t="s">
        <v>71</v>
      </c>
      <c r="M31" s="317" t="s">
        <v>50</v>
      </c>
      <c r="N31" s="317" t="s">
        <v>47</v>
      </c>
      <c r="O31" s="91"/>
      <c r="P31" s="317" t="s">
        <v>56</v>
      </c>
      <c r="Q31" s="317" t="s">
        <v>72</v>
      </c>
      <c r="R31" s="318" t="s">
        <v>58</v>
      </c>
      <c r="S31" s="319"/>
      <c r="T31" s="242" t="s">
        <v>53</v>
      </c>
      <c r="U31" s="243"/>
      <c r="V31" s="244" t="s">
        <v>42</v>
      </c>
      <c r="W31" s="245"/>
      <c r="X31" s="242" t="s">
        <v>53</v>
      </c>
      <c r="Y31" s="246"/>
      <c r="Z31" s="245"/>
      <c r="AA31" s="117"/>
      <c r="AB31" s="87"/>
      <c r="AC31" s="87"/>
      <c r="AD31" s="95"/>
      <c r="AE31" s="171">
        <f>SUM(B32,C32,D32,E32,G32,H32,I32,J32,L32,M32,N32,P32,R32,Q32,T32,V32,X32)</f>
        <v>7</v>
      </c>
      <c r="AF31" s="192"/>
      <c r="AG31" s="171">
        <f>Z4</f>
        <v>13</v>
      </c>
      <c r="AH31" s="172"/>
      <c r="AI31" s="252">
        <f>SUM(AE31,AG31)</f>
        <v>20</v>
      </c>
      <c r="AJ31" s="141"/>
      <c r="AK31" s="253"/>
      <c r="AL31" s="87"/>
      <c r="AM31" s="141">
        <f>SUM(AC32,AI31)</f>
        <v>20</v>
      </c>
      <c r="AN31" s="141"/>
      <c r="AO31" s="141"/>
      <c r="AP31" s="141"/>
      <c r="AQ31" s="87"/>
      <c r="AR31" s="141"/>
      <c r="AS31" s="141"/>
      <c r="AT31" s="141"/>
      <c r="AU31" s="141"/>
      <c r="AV31" s="141"/>
      <c r="AW31" s="141"/>
      <c r="AX31" s="141"/>
      <c r="AY31" s="141"/>
      <c r="AZ31" s="141"/>
      <c r="BA31" s="314"/>
    </row>
    <row r="32" spans="1:53" ht="14.25" customHeight="1" thickBot="1" x14ac:dyDescent="0.3">
      <c r="A32" s="198"/>
      <c r="B32" s="89" t="s">
        <v>129</v>
      </c>
      <c r="C32" s="90">
        <v>2</v>
      </c>
      <c r="D32" s="90" t="s">
        <v>129</v>
      </c>
      <c r="E32" s="90" t="s">
        <v>129</v>
      </c>
      <c r="F32" s="91"/>
      <c r="G32" s="90">
        <v>2</v>
      </c>
      <c r="H32" s="90" t="s">
        <v>129</v>
      </c>
      <c r="I32" s="90" t="s">
        <v>129</v>
      </c>
      <c r="J32" s="92" t="s">
        <v>129</v>
      </c>
      <c r="K32" s="97">
        <v>0</v>
      </c>
      <c r="L32" s="89" t="s">
        <v>129</v>
      </c>
      <c r="M32" s="90">
        <v>3</v>
      </c>
      <c r="N32" s="90" t="s">
        <v>129</v>
      </c>
      <c r="O32" s="98">
        <v>0</v>
      </c>
      <c r="P32" s="90" t="s">
        <v>129</v>
      </c>
      <c r="Q32" s="90" t="s">
        <v>129</v>
      </c>
      <c r="R32" s="92" t="s">
        <v>129</v>
      </c>
      <c r="S32" s="97">
        <v>0</v>
      </c>
      <c r="T32" s="182" t="s">
        <v>129</v>
      </c>
      <c r="U32" s="183"/>
      <c r="V32" s="184" t="s">
        <v>129</v>
      </c>
      <c r="W32" s="185"/>
      <c r="X32" s="182" t="s">
        <v>129</v>
      </c>
      <c r="Y32" s="186"/>
      <c r="Z32" s="185"/>
      <c r="AA32" s="99">
        <v>0</v>
      </c>
      <c r="AB32" s="87">
        <f>SUM(K32,O32,S32,AA32)</f>
        <v>0</v>
      </c>
      <c r="AC32" s="108">
        <f>SUM(AB5,AB32)</f>
        <v>0</v>
      </c>
      <c r="AD32" s="108"/>
      <c r="AE32" s="173"/>
      <c r="AF32" s="193"/>
      <c r="AG32" s="173"/>
      <c r="AH32" s="140"/>
      <c r="AI32" s="138"/>
      <c r="AJ32" s="139"/>
      <c r="AK32" s="140"/>
      <c r="AL32" s="87"/>
      <c r="AM32" s="141"/>
      <c r="AN32" s="141"/>
      <c r="AO32" s="141"/>
      <c r="AP32" s="141"/>
      <c r="AQ32" s="87"/>
      <c r="AR32" s="141"/>
      <c r="AS32" s="141"/>
      <c r="AT32" s="141"/>
      <c r="AU32" s="141"/>
      <c r="AV32" s="141"/>
      <c r="AW32" s="141"/>
      <c r="AX32" s="141"/>
      <c r="AY32" s="141"/>
      <c r="AZ32" s="141"/>
      <c r="BA32" s="314"/>
    </row>
    <row r="33" spans="1:53" ht="14.25" customHeight="1" x14ac:dyDescent="0.25">
      <c r="A33" s="241" t="s">
        <v>4</v>
      </c>
      <c r="B33" s="47" t="s">
        <v>53</v>
      </c>
      <c r="C33" s="48" t="s">
        <v>49</v>
      </c>
      <c r="D33" s="48" t="s">
        <v>50</v>
      </c>
      <c r="E33" s="48" t="s">
        <v>43</v>
      </c>
      <c r="F33" s="44"/>
      <c r="G33" s="48" t="s">
        <v>42</v>
      </c>
      <c r="H33" s="48" t="s">
        <v>60</v>
      </c>
      <c r="I33" s="48" t="s">
        <v>51</v>
      </c>
      <c r="J33" s="49" t="s">
        <v>45</v>
      </c>
      <c r="K33" s="45"/>
      <c r="L33" s="47" t="s">
        <v>61</v>
      </c>
      <c r="M33" s="48" t="s">
        <v>64</v>
      </c>
      <c r="N33" s="48" t="s">
        <v>47</v>
      </c>
      <c r="O33" s="44"/>
      <c r="P33" s="48" t="s">
        <v>52</v>
      </c>
      <c r="Q33" s="48" t="s">
        <v>44</v>
      </c>
      <c r="R33" s="49" t="s">
        <v>62</v>
      </c>
      <c r="S33" s="45"/>
      <c r="T33" s="237" t="s">
        <v>64</v>
      </c>
      <c r="U33" s="238"/>
      <c r="V33" s="165" t="s">
        <v>60</v>
      </c>
      <c r="W33" s="165"/>
      <c r="X33" s="237" t="s">
        <v>64</v>
      </c>
      <c r="Y33" s="165"/>
      <c r="Z33" s="260"/>
      <c r="AA33" s="50"/>
      <c r="AD33" s="71"/>
      <c r="AE33" s="133">
        <f>SUM(B34,C34,D34,E34,G34,H34,I34,J34,L34,M34,N34,P34,Q34,R34,T34,V34,X34)</f>
        <v>6</v>
      </c>
      <c r="AF33" s="142"/>
      <c r="AG33" s="133">
        <f>Z6</f>
        <v>9</v>
      </c>
      <c r="AH33" s="134"/>
      <c r="AI33" s="143">
        <f t="shared" ref="AI33" si="8">SUM(AE33,AG33)</f>
        <v>15</v>
      </c>
      <c r="AJ33" s="119"/>
      <c r="AK33" s="144"/>
      <c r="AM33" s="128">
        <f>SUM(AC34,AI33)</f>
        <v>18</v>
      </c>
      <c r="AN33" s="128"/>
      <c r="AO33" s="128"/>
      <c r="AP33" s="128"/>
      <c r="AR33" s="120" t="s">
        <v>198</v>
      </c>
      <c r="AS33" s="120"/>
      <c r="AT33" s="120"/>
      <c r="AU33" s="120"/>
      <c r="AV33" s="120"/>
      <c r="AW33" s="120"/>
      <c r="AX33" s="120"/>
      <c r="AY33" s="120"/>
      <c r="AZ33" s="120"/>
    </row>
    <row r="34" spans="1:53" ht="14.25" customHeight="1" thickBot="1" x14ac:dyDescent="0.3">
      <c r="A34" s="196"/>
      <c r="B34" s="47" t="s">
        <v>129</v>
      </c>
      <c r="C34" s="48">
        <v>2</v>
      </c>
      <c r="D34" s="48" t="s">
        <v>129</v>
      </c>
      <c r="E34" s="48" t="s">
        <v>129</v>
      </c>
      <c r="F34" s="44"/>
      <c r="G34" s="48">
        <v>2</v>
      </c>
      <c r="H34" s="48">
        <v>2</v>
      </c>
      <c r="I34" s="48" t="s">
        <v>129</v>
      </c>
      <c r="J34" s="49" t="s">
        <v>129</v>
      </c>
      <c r="K34" s="80">
        <v>0</v>
      </c>
      <c r="L34" s="47" t="s">
        <v>129</v>
      </c>
      <c r="M34" s="48" t="s">
        <v>129</v>
      </c>
      <c r="N34" s="48" t="s">
        <v>129</v>
      </c>
      <c r="O34" s="81">
        <v>0</v>
      </c>
      <c r="P34" s="48" t="s">
        <v>129</v>
      </c>
      <c r="Q34" s="48" t="s">
        <v>129</v>
      </c>
      <c r="R34" s="49" t="s">
        <v>129</v>
      </c>
      <c r="S34" s="80">
        <v>0</v>
      </c>
      <c r="T34" s="176" t="s">
        <v>129</v>
      </c>
      <c r="U34" s="177"/>
      <c r="V34" s="250"/>
      <c r="W34" s="251"/>
      <c r="X34" s="176" t="s">
        <v>129</v>
      </c>
      <c r="Y34" s="180"/>
      <c r="Z34" s="181"/>
      <c r="AA34" s="82">
        <v>3</v>
      </c>
      <c r="AB34">
        <f>SUM(K34,O34,S34,AA34)</f>
        <v>3</v>
      </c>
      <c r="AC34" s="71">
        <f>SUM(AB7,AB34)</f>
        <v>3</v>
      </c>
      <c r="AD34" s="71"/>
      <c r="AE34" s="131"/>
      <c r="AF34" s="132"/>
      <c r="AG34" s="264"/>
      <c r="AH34" s="144"/>
      <c r="AI34" s="125"/>
      <c r="AJ34" s="126"/>
      <c r="AK34" s="127"/>
      <c r="AM34" s="128"/>
      <c r="AN34" s="128"/>
      <c r="AO34" s="128"/>
      <c r="AP34" s="128"/>
      <c r="AR34" s="120"/>
      <c r="AS34" s="120"/>
      <c r="AT34" s="120"/>
      <c r="AU34" s="120"/>
      <c r="AV34" s="120"/>
      <c r="AW34" s="120"/>
      <c r="AX34" s="120"/>
      <c r="AY34" s="120"/>
      <c r="AZ34" s="120"/>
    </row>
    <row r="35" spans="1:53" ht="14.25" customHeight="1" x14ac:dyDescent="0.25">
      <c r="A35" s="218" t="s">
        <v>66</v>
      </c>
      <c r="B35" s="47" t="s">
        <v>53</v>
      </c>
      <c r="C35" s="48" t="s">
        <v>46</v>
      </c>
      <c r="D35" s="48" t="s">
        <v>64</v>
      </c>
      <c r="E35" s="48" t="s">
        <v>43</v>
      </c>
      <c r="F35" s="44"/>
      <c r="G35" s="48" t="s">
        <v>52</v>
      </c>
      <c r="H35" s="48" t="s">
        <v>60</v>
      </c>
      <c r="I35" s="48" t="s">
        <v>51</v>
      </c>
      <c r="J35" s="49" t="s">
        <v>62</v>
      </c>
      <c r="K35" s="45"/>
      <c r="L35" s="47" t="s">
        <v>61</v>
      </c>
      <c r="M35" s="48" t="s">
        <v>49</v>
      </c>
      <c r="N35" s="48" t="s">
        <v>47</v>
      </c>
      <c r="O35" s="44"/>
      <c r="P35" s="48" t="s">
        <v>42</v>
      </c>
      <c r="Q35" s="48" t="s">
        <v>44</v>
      </c>
      <c r="R35" s="49" t="s">
        <v>45</v>
      </c>
      <c r="S35" s="45"/>
      <c r="T35" s="237" t="s">
        <v>43</v>
      </c>
      <c r="U35" s="238"/>
      <c r="V35" s="165" t="s">
        <v>45</v>
      </c>
      <c r="W35" s="165"/>
      <c r="X35" s="237" t="s">
        <v>45</v>
      </c>
      <c r="Y35" s="165"/>
      <c r="Z35" s="260"/>
      <c r="AA35" s="50"/>
      <c r="AD35" s="72"/>
      <c r="AE35" s="133">
        <f>SUM(B36,C36,D36,E36,G36,H36,I36,J36,L36,M36,N36,P36,Q36,R36,T36,V36,X36)</f>
        <v>5</v>
      </c>
      <c r="AF35" s="142"/>
      <c r="AG35" s="133">
        <f>Z8</f>
        <v>10</v>
      </c>
      <c r="AH35" s="134"/>
      <c r="AI35" s="122">
        <f t="shared" ref="AI35" si="9">SUM(AE35,AG35)</f>
        <v>15</v>
      </c>
      <c r="AJ35" s="123"/>
      <c r="AK35" s="124"/>
      <c r="AM35" s="128">
        <f t="shared" ref="AM35" si="10">SUM(AC36,AI35)</f>
        <v>22</v>
      </c>
      <c r="AN35" s="128"/>
      <c r="AO35" s="128"/>
      <c r="AP35" s="128"/>
      <c r="AR35" s="263" t="s">
        <v>198</v>
      </c>
      <c r="AS35" s="263"/>
      <c r="AT35" s="263"/>
      <c r="AU35" s="263"/>
      <c r="AV35" s="263"/>
      <c r="AW35" s="263"/>
      <c r="AX35" s="263"/>
      <c r="AY35" s="263"/>
      <c r="AZ35" s="263"/>
      <c r="BA35" s="86"/>
    </row>
    <row r="36" spans="1:53" ht="14.25" customHeight="1" thickBot="1" x14ac:dyDescent="0.3">
      <c r="A36" s="166"/>
      <c r="B36" s="102" t="s">
        <v>129</v>
      </c>
      <c r="C36" s="103" t="s">
        <v>129</v>
      </c>
      <c r="D36" s="103" t="s">
        <v>129</v>
      </c>
      <c r="E36" s="103" t="s">
        <v>129</v>
      </c>
      <c r="F36" s="104"/>
      <c r="G36" s="103" t="s">
        <v>129</v>
      </c>
      <c r="H36" s="103">
        <v>2</v>
      </c>
      <c r="I36" s="103" t="s">
        <v>129</v>
      </c>
      <c r="J36" s="105" t="s">
        <v>129</v>
      </c>
      <c r="K36" s="80">
        <v>0</v>
      </c>
      <c r="L36" s="47" t="s">
        <v>129</v>
      </c>
      <c r="M36" s="48" t="s">
        <v>129</v>
      </c>
      <c r="N36" s="48" t="s">
        <v>129</v>
      </c>
      <c r="O36" s="81">
        <v>0</v>
      </c>
      <c r="P36" s="48" t="s">
        <v>129</v>
      </c>
      <c r="Q36" s="48" t="s">
        <v>129</v>
      </c>
      <c r="R36" s="49">
        <v>3</v>
      </c>
      <c r="S36" s="80">
        <v>0</v>
      </c>
      <c r="T36" s="176" t="s">
        <v>129</v>
      </c>
      <c r="U36" s="177"/>
      <c r="V36" s="250"/>
      <c r="W36" s="251"/>
      <c r="X36" s="176"/>
      <c r="Y36" s="180"/>
      <c r="Z36" s="181"/>
      <c r="AA36" s="82">
        <v>7</v>
      </c>
      <c r="AB36">
        <f>SUM(K36,O36,S36,AA36)</f>
        <v>7</v>
      </c>
      <c r="AC36" s="71">
        <f>SUM(AB9,AB36)</f>
        <v>7</v>
      </c>
      <c r="AD36" s="72"/>
      <c r="AE36" s="131"/>
      <c r="AF36" s="132"/>
      <c r="AG36" s="261"/>
      <c r="AH36" s="262"/>
      <c r="AI36" s="125"/>
      <c r="AJ36" s="126"/>
      <c r="AK36" s="127"/>
      <c r="AM36" s="128"/>
      <c r="AN36" s="128"/>
      <c r="AO36" s="128"/>
      <c r="AP36" s="128"/>
      <c r="AR36" s="263"/>
      <c r="AS36" s="263"/>
      <c r="AT36" s="263"/>
      <c r="AU36" s="263"/>
      <c r="AV36" s="263"/>
      <c r="AW36" s="263"/>
      <c r="AX36" s="263"/>
      <c r="AY36" s="263"/>
      <c r="AZ36" s="263"/>
      <c r="BA36" s="86"/>
    </row>
    <row r="37" spans="1:53" ht="14.25" customHeight="1" x14ac:dyDescent="0.25">
      <c r="A37" s="254" t="s">
        <v>6</v>
      </c>
      <c r="B37" s="89" t="s">
        <v>53</v>
      </c>
      <c r="C37" s="90" t="s">
        <v>46</v>
      </c>
      <c r="D37" s="90" t="s">
        <v>50</v>
      </c>
      <c r="E37" s="90" t="s">
        <v>47</v>
      </c>
      <c r="F37" s="91"/>
      <c r="G37" s="90" t="s">
        <v>42</v>
      </c>
      <c r="H37" s="90" t="s">
        <v>56</v>
      </c>
      <c r="I37" s="90" t="s">
        <v>51</v>
      </c>
      <c r="J37" s="92" t="s">
        <v>45</v>
      </c>
      <c r="K37" s="93"/>
      <c r="L37" s="89" t="s">
        <v>43</v>
      </c>
      <c r="M37" s="90" t="s">
        <v>75</v>
      </c>
      <c r="N37" s="90" t="s">
        <v>59</v>
      </c>
      <c r="O37" s="91"/>
      <c r="P37" s="90" t="s">
        <v>58</v>
      </c>
      <c r="Q37" s="90" t="s">
        <v>67</v>
      </c>
      <c r="R37" s="92" t="s">
        <v>63</v>
      </c>
      <c r="S37" s="93"/>
      <c r="T37" s="255" t="s">
        <v>46</v>
      </c>
      <c r="U37" s="256"/>
      <c r="V37" s="189" t="s">
        <v>42</v>
      </c>
      <c r="W37" s="190"/>
      <c r="X37" s="257" t="s">
        <v>46</v>
      </c>
      <c r="Y37" s="257"/>
      <c r="Z37" s="257"/>
      <c r="AA37" s="94"/>
      <c r="AB37" s="87"/>
      <c r="AC37" s="87"/>
      <c r="AD37" s="95"/>
      <c r="AE37" s="171">
        <f>SUM(B38,C38,D38,E38,G38,H38,I38,J38,L38,M38,N38,P38,R38,Q38,T38,V38,X38)</f>
        <v>10</v>
      </c>
      <c r="AF37" s="192"/>
      <c r="AG37" s="171">
        <f>Z10</f>
        <v>11</v>
      </c>
      <c r="AH37" s="172"/>
      <c r="AI37" s="252">
        <f t="shared" ref="AI37" si="11">SUM(AE37,AG37)</f>
        <v>21</v>
      </c>
      <c r="AJ37" s="141"/>
      <c r="AK37" s="253"/>
      <c r="AL37" s="87"/>
      <c r="AM37" s="141">
        <f t="shared" ref="AM37" si="12">SUM(AC38,AI37)</f>
        <v>21</v>
      </c>
      <c r="AN37" s="141"/>
      <c r="AO37" s="141"/>
      <c r="AP37" s="141"/>
      <c r="AQ37" s="87"/>
      <c r="AR37" s="120" t="s">
        <v>173</v>
      </c>
      <c r="AS37" s="120"/>
      <c r="AT37" s="120"/>
      <c r="AU37" s="120"/>
      <c r="AV37" s="120"/>
      <c r="AW37" s="120"/>
      <c r="AX37" s="120"/>
      <c r="AY37" s="120"/>
      <c r="AZ37" s="120"/>
    </row>
    <row r="38" spans="1:53" ht="14.25" customHeight="1" thickBot="1" x14ac:dyDescent="0.3">
      <c r="A38" s="198"/>
      <c r="B38" s="89" t="s">
        <v>129</v>
      </c>
      <c r="C38" s="90" t="s">
        <v>129</v>
      </c>
      <c r="D38" s="90" t="s">
        <v>129</v>
      </c>
      <c r="E38" s="90">
        <v>2</v>
      </c>
      <c r="F38" s="91"/>
      <c r="G38" s="90">
        <v>2</v>
      </c>
      <c r="H38" s="90" t="s">
        <v>129</v>
      </c>
      <c r="I38" s="90" t="s">
        <v>129</v>
      </c>
      <c r="J38" s="92" t="s">
        <v>129</v>
      </c>
      <c r="K38" s="97">
        <v>0</v>
      </c>
      <c r="L38" s="89" t="s">
        <v>129</v>
      </c>
      <c r="M38" s="90" t="s">
        <v>129</v>
      </c>
      <c r="N38" s="90">
        <v>3</v>
      </c>
      <c r="O38" s="98">
        <v>0</v>
      </c>
      <c r="P38" s="90" t="s">
        <v>129</v>
      </c>
      <c r="Q38" s="90">
        <v>3</v>
      </c>
      <c r="R38" s="92" t="s">
        <v>129</v>
      </c>
      <c r="S38" s="97">
        <v>0</v>
      </c>
      <c r="T38" s="182" t="s">
        <v>129</v>
      </c>
      <c r="U38" s="183"/>
      <c r="V38" s="184" t="s">
        <v>129</v>
      </c>
      <c r="W38" s="185"/>
      <c r="X38" s="182" t="s">
        <v>129</v>
      </c>
      <c r="Y38" s="186"/>
      <c r="Z38" s="185"/>
      <c r="AA38" s="99">
        <v>0</v>
      </c>
      <c r="AB38" s="87">
        <f>SUM(K38,O38,S38,AA38)</f>
        <v>0</v>
      </c>
      <c r="AC38" s="108">
        <f t="shared" ref="AC38" si="13">SUM(AB11,AB38)</f>
        <v>0</v>
      </c>
      <c r="AD38" s="95"/>
      <c r="AE38" s="173"/>
      <c r="AF38" s="193"/>
      <c r="AG38" s="173"/>
      <c r="AH38" s="140"/>
      <c r="AI38" s="138"/>
      <c r="AJ38" s="139"/>
      <c r="AK38" s="140"/>
      <c r="AL38" s="87"/>
      <c r="AM38" s="141"/>
      <c r="AN38" s="141"/>
      <c r="AO38" s="141"/>
      <c r="AP38" s="141"/>
      <c r="AQ38" s="87"/>
      <c r="AR38" s="120"/>
      <c r="AS38" s="120"/>
      <c r="AT38" s="120"/>
      <c r="AU38" s="120"/>
      <c r="AV38" s="120"/>
      <c r="AW38" s="120"/>
      <c r="AX38" s="120"/>
      <c r="AY38" s="120"/>
      <c r="AZ38" s="120"/>
    </row>
    <row r="39" spans="1:53" ht="14.25" customHeight="1" x14ac:dyDescent="0.25">
      <c r="A39" s="254" t="s">
        <v>69</v>
      </c>
      <c r="B39" s="89" t="s">
        <v>53</v>
      </c>
      <c r="C39" s="90" t="s">
        <v>46</v>
      </c>
      <c r="D39" s="90" t="s">
        <v>50</v>
      </c>
      <c r="E39" s="90" t="s">
        <v>43</v>
      </c>
      <c r="F39" s="91"/>
      <c r="G39" s="90" t="s">
        <v>63</v>
      </c>
      <c r="H39" s="90" t="s">
        <v>67</v>
      </c>
      <c r="I39" s="90" t="s">
        <v>51</v>
      </c>
      <c r="J39" s="92" t="s">
        <v>45</v>
      </c>
      <c r="K39" s="93"/>
      <c r="L39" s="89" t="s">
        <v>59</v>
      </c>
      <c r="M39" s="90" t="s">
        <v>47</v>
      </c>
      <c r="N39" s="90" t="s">
        <v>49</v>
      </c>
      <c r="O39" s="91"/>
      <c r="P39" s="90" t="s">
        <v>42</v>
      </c>
      <c r="Q39" s="90" t="s">
        <v>56</v>
      </c>
      <c r="R39" s="92" t="s">
        <v>62</v>
      </c>
      <c r="S39" s="93"/>
      <c r="T39" s="255" t="s">
        <v>59</v>
      </c>
      <c r="U39" s="256"/>
      <c r="V39" s="257" t="s">
        <v>67</v>
      </c>
      <c r="W39" s="257"/>
      <c r="X39" s="255" t="s">
        <v>59</v>
      </c>
      <c r="Y39" s="257"/>
      <c r="Z39" s="259"/>
      <c r="AA39" s="94"/>
      <c r="AB39" s="87"/>
      <c r="AC39" s="87"/>
      <c r="AD39" s="95"/>
      <c r="AE39" s="171">
        <f>SUM(B40,C40,D40,E40,G40,H40,I40,J40,L40,M40,N40,P40,Q40,R40,T40,V40,X40)</f>
        <v>3</v>
      </c>
      <c r="AF39" s="192"/>
      <c r="AG39" s="171">
        <f>Z12</f>
        <v>8</v>
      </c>
      <c r="AH39" s="172"/>
      <c r="AI39" s="252">
        <f t="shared" ref="AI39" si="14">SUM(AE39,AG39)</f>
        <v>11</v>
      </c>
      <c r="AJ39" s="141"/>
      <c r="AK39" s="253"/>
      <c r="AL39" s="87"/>
      <c r="AM39" s="141">
        <f t="shared" ref="AM39" si="15">SUM(AC40,AI39)</f>
        <v>11</v>
      </c>
      <c r="AN39" s="141"/>
      <c r="AO39" s="141"/>
      <c r="AP39" s="141"/>
      <c r="AQ39" s="87"/>
      <c r="AR39" s="120" t="s">
        <v>172</v>
      </c>
      <c r="AS39" s="120"/>
      <c r="AT39" s="120"/>
      <c r="AU39" s="120"/>
      <c r="AV39" s="120"/>
      <c r="AW39" s="120"/>
      <c r="AX39" s="120"/>
      <c r="AY39" s="120"/>
      <c r="AZ39" s="120"/>
    </row>
    <row r="40" spans="1:53" ht="14.25" customHeight="1" thickBot="1" x14ac:dyDescent="0.3">
      <c r="A40" s="198"/>
      <c r="B40" s="89" t="s">
        <v>129</v>
      </c>
      <c r="C40" s="90" t="s">
        <v>129</v>
      </c>
      <c r="D40" s="90" t="s">
        <v>129</v>
      </c>
      <c r="E40" s="90" t="s">
        <v>129</v>
      </c>
      <c r="F40" s="91"/>
      <c r="G40" s="90" t="s">
        <v>129</v>
      </c>
      <c r="H40" s="90" t="s">
        <v>129</v>
      </c>
      <c r="I40" s="90" t="s">
        <v>129</v>
      </c>
      <c r="J40" s="92" t="s">
        <v>129</v>
      </c>
      <c r="K40" s="97">
        <v>0</v>
      </c>
      <c r="L40" s="89">
        <v>3</v>
      </c>
      <c r="M40" s="90" t="s">
        <v>129</v>
      </c>
      <c r="N40" s="90" t="s">
        <v>129</v>
      </c>
      <c r="O40" s="98">
        <v>0</v>
      </c>
      <c r="P40" s="90" t="s">
        <v>129</v>
      </c>
      <c r="Q40" s="90" t="s">
        <v>129</v>
      </c>
      <c r="R40" s="92" t="s">
        <v>129</v>
      </c>
      <c r="S40" s="97">
        <v>0</v>
      </c>
      <c r="T40" s="182" t="s">
        <v>129</v>
      </c>
      <c r="U40" s="183"/>
      <c r="V40" s="184" t="s">
        <v>129</v>
      </c>
      <c r="W40" s="185"/>
      <c r="X40" s="182" t="s">
        <v>129</v>
      </c>
      <c r="Y40" s="186"/>
      <c r="Z40" s="185"/>
      <c r="AA40" s="99">
        <v>0</v>
      </c>
      <c r="AB40" s="87">
        <f>SUM(K40,O40,S40,AA40)</f>
        <v>0</v>
      </c>
      <c r="AC40" s="108">
        <f t="shared" ref="AC40" si="16">SUM(AB13,AB40)</f>
        <v>0</v>
      </c>
      <c r="AD40" s="95"/>
      <c r="AE40" s="173"/>
      <c r="AF40" s="193"/>
      <c r="AG40" s="173"/>
      <c r="AH40" s="140"/>
      <c r="AI40" s="138"/>
      <c r="AJ40" s="139"/>
      <c r="AK40" s="140"/>
      <c r="AL40" s="87"/>
      <c r="AM40" s="141"/>
      <c r="AN40" s="141"/>
      <c r="AO40" s="141"/>
      <c r="AP40" s="141"/>
      <c r="AQ40" s="87"/>
      <c r="AR40" s="120"/>
      <c r="AS40" s="120"/>
      <c r="AT40" s="120"/>
      <c r="AU40" s="120"/>
      <c r="AV40" s="120"/>
      <c r="AW40" s="120"/>
      <c r="AX40" s="120"/>
      <c r="AY40" s="120"/>
      <c r="AZ40" s="120"/>
    </row>
    <row r="41" spans="1:53" ht="14.25" customHeight="1" x14ac:dyDescent="0.25">
      <c r="A41" s="241" t="s">
        <v>8</v>
      </c>
      <c r="B41" s="47" t="s">
        <v>53</v>
      </c>
      <c r="C41" s="48" t="s">
        <v>46</v>
      </c>
      <c r="D41" s="48" t="s">
        <v>50</v>
      </c>
      <c r="E41" s="48" t="s">
        <v>59</v>
      </c>
      <c r="F41" s="44"/>
      <c r="G41" s="48" t="s">
        <v>42</v>
      </c>
      <c r="H41" s="48" t="s">
        <v>56</v>
      </c>
      <c r="I41" s="48" t="s">
        <v>72</v>
      </c>
      <c r="J41" s="49" t="s">
        <v>58</v>
      </c>
      <c r="K41" s="45"/>
      <c r="L41" s="47" t="s">
        <v>49</v>
      </c>
      <c r="M41" s="48" t="s">
        <v>43</v>
      </c>
      <c r="N41" s="48" t="s">
        <v>47</v>
      </c>
      <c r="O41" s="44"/>
      <c r="P41" s="48" t="s">
        <v>44</v>
      </c>
      <c r="Q41" s="48" t="s">
        <v>45</v>
      </c>
      <c r="R41" s="49" t="s">
        <v>57</v>
      </c>
      <c r="S41" s="45"/>
      <c r="T41" s="237" t="s">
        <v>53</v>
      </c>
      <c r="U41" s="238"/>
      <c r="V41" s="165" t="s">
        <v>58</v>
      </c>
      <c r="W41" s="165"/>
      <c r="X41" s="237" t="s">
        <v>53</v>
      </c>
      <c r="Y41" s="165"/>
      <c r="Z41" s="260"/>
      <c r="AA41" s="50"/>
      <c r="AB41" s="79"/>
      <c r="AD41" s="72"/>
      <c r="AE41" s="133">
        <f t="shared" ref="AE41" si="17">SUM(B42,C42,D42,E42,G42,H42,I42,J42,L42,M42,N42,P42,R42,Q42,T42,V42,X42)</f>
        <v>7</v>
      </c>
      <c r="AF41" s="142"/>
      <c r="AG41" s="133">
        <f>Z14</f>
        <v>15</v>
      </c>
      <c r="AH41" s="134"/>
      <c r="AI41" s="143">
        <f t="shared" ref="AI41" si="18">SUM(AE41,AG41)</f>
        <v>22</v>
      </c>
      <c r="AJ41" s="119"/>
      <c r="AK41" s="144"/>
      <c r="AM41" s="128">
        <f t="shared" ref="AM41" si="19">SUM(AC42,AI41)</f>
        <v>25</v>
      </c>
      <c r="AN41" s="128"/>
      <c r="AO41" s="128"/>
      <c r="AP41" s="128"/>
      <c r="AR41" s="313" t="s">
        <v>198</v>
      </c>
      <c r="AS41" s="313"/>
      <c r="AT41" s="313"/>
      <c r="AU41" s="313"/>
      <c r="AV41" s="313"/>
      <c r="AW41" s="313"/>
      <c r="AX41" s="313"/>
      <c r="AY41" s="313"/>
      <c r="AZ41" s="313"/>
    </row>
    <row r="42" spans="1:53" ht="14.25" customHeight="1" thickBot="1" x14ac:dyDescent="0.3">
      <c r="A42" s="196"/>
      <c r="B42" s="47" t="s">
        <v>129</v>
      </c>
      <c r="C42" s="48" t="s">
        <v>129</v>
      </c>
      <c r="D42" s="48" t="s">
        <v>129</v>
      </c>
      <c r="E42" s="48" t="s">
        <v>129</v>
      </c>
      <c r="F42" s="44"/>
      <c r="G42" s="48">
        <v>2</v>
      </c>
      <c r="H42" s="48" t="s">
        <v>129</v>
      </c>
      <c r="I42" s="48" t="s">
        <v>129</v>
      </c>
      <c r="J42" s="49">
        <v>2</v>
      </c>
      <c r="K42" s="80">
        <v>0</v>
      </c>
      <c r="L42" s="47" t="s">
        <v>129</v>
      </c>
      <c r="M42" s="48" t="s">
        <v>129</v>
      </c>
      <c r="N42" s="48" t="s">
        <v>129</v>
      </c>
      <c r="O42" s="81">
        <v>0</v>
      </c>
      <c r="P42" s="48" t="s">
        <v>129</v>
      </c>
      <c r="Q42" s="48">
        <v>3</v>
      </c>
      <c r="R42" s="49" t="s">
        <v>129</v>
      </c>
      <c r="S42" s="80">
        <v>0</v>
      </c>
      <c r="T42" s="176" t="s">
        <v>129</v>
      </c>
      <c r="U42" s="177"/>
      <c r="V42" s="250"/>
      <c r="W42" s="251"/>
      <c r="X42" s="176" t="s">
        <v>129</v>
      </c>
      <c r="Y42" s="180"/>
      <c r="Z42" s="181"/>
      <c r="AA42" s="82">
        <v>3</v>
      </c>
      <c r="AB42">
        <f>SUM(K42,O42,S42,AA42)</f>
        <v>3</v>
      </c>
      <c r="AC42" s="71">
        <f t="shared" ref="AC42" si="20">SUM(AB15,AB42)</f>
        <v>3</v>
      </c>
      <c r="AD42" s="72"/>
      <c r="AE42" s="131"/>
      <c r="AF42" s="132"/>
      <c r="AG42" s="131"/>
      <c r="AH42" s="127"/>
      <c r="AI42" s="125"/>
      <c r="AJ42" s="126"/>
      <c r="AK42" s="127"/>
      <c r="AM42" s="128"/>
      <c r="AN42" s="128"/>
      <c r="AO42" s="128"/>
      <c r="AP42" s="128"/>
      <c r="AR42" s="313"/>
      <c r="AS42" s="313"/>
      <c r="AT42" s="313"/>
      <c r="AU42" s="313"/>
      <c r="AV42" s="313"/>
      <c r="AW42" s="313"/>
      <c r="AX42" s="313"/>
      <c r="AY42" s="313"/>
      <c r="AZ42" s="313"/>
    </row>
    <row r="43" spans="1:53" ht="14.25" customHeight="1" x14ac:dyDescent="0.25">
      <c r="A43" s="306" t="s">
        <v>9</v>
      </c>
      <c r="B43" s="270" t="s">
        <v>61</v>
      </c>
      <c r="C43" s="271" t="s">
        <v>49</v>
      </c>
      <c r="D43" s="271" t="s">
        <v>50</v>
      </c>
      <c r="E43" s="271" t="s">
        <v>43</v>
      </c>
      <c r="F43" s="272"/>
      <c r="G43" s="271" t="s">
        <v>57</v>
      </c>
      <c r="H43" s="271" t="s">
        <v>44</v>
      </c>
      <c r="I43" s="271" t="s">
        <v>51</v>
      </c>
      <c r="J43" s="273" t="s">
        <v>45</v>
      </c>
      <c r="K43" s="274"/>
      <c r="L43" s="270" t="s">
        <v>46</v>
      </c>
      <c r="M43" s="271" t="s">
        <v>53</v>
      </c>
      <c r="N43" s="271" t="s">
        <v>59</v>
      </c>
      <c r="O43" s="272"/>
      <c r="P43" s="271" t="s">
        <v>42</v>
      </c>
      <c r="Q43" s="271" t="s">
        <v>56</v>
      </c>
      <c r="R43" s="273" t="s">
        <v>65</v>
      </c>
      <c r="S43" s="274"/>
      <c r="T43" s="275" t="s">
        <v>53</v>
      </c>
      <c r="U43" s="276"/>
      <c r="V43" s="277" t="s">
        <v>42</v>
      </c>
      <c r="W43" s="278"/>
      <c r="X43" s="305" t="s">
        <v>53</v>
      </c>
      <c r="Y43" s="305"/>
      <c r="Z43" s="305"/>
      <c r="AA43" s="280"/>
      <c r="AB43" s="281"/>
      <c r="AC43" s="281"/>
      <c r="AD43" s="282"/>
      <c r="AE43" s="285">
        <f t="shared" ref="AE43" si="21">SUM(B44,C44,D44,E44,G44,H44,I44,J44,L44,M44,N44,P44,Q44,R44,T44,V44,X44)</f>
        <v>13</v>
      </c>
      <c r="AF43" s="307"/>
      <c r="AG43" s="285">
        <f>Z16</f>
        <v>15</v>
      </c>
      <c r="AH43" s="286"/>
      <c r="AI43" s="308">
        <f t="shared" ref="AI43" si="22">SUM(AE43,AG43)</f>
        <v>28</v>
      </c>
      <c r="AJ43" s="290"/>
      <c r="AK43" s="309"/>
      <c r="AL43" s="281"/>
      <c r="AM43" s="290">
        <f t="shared" ref="AM43" si="23">SUM(AC44,AI43)</f>
        <v>28</v>
      </c>
      <c r="AN43" s="290"/>
      <c r="AO43" s="290"/>
      <c r="AP43" s="290"/>
      <c r="AQ43" s="281"/>
      <c r="AR43" s="121" t="s">
        <v>200</v>
      </c>
      <c r="AS43" s="121"/>
      <c r="AT43" s="121"/>
      <c r="AU43" s="121"/>
      <c r="AV43" s="121"/>
      <c r="AW43" s="121"/>
      <c r="AX43" s="121"/>
      <c r="AY43" s="121"/>
      <c r="AZ43" s="121"/>
    </row>
    <row r="44" spans="1:53" ht="14.25" customHeight="1" thickBot="1" x14ac:dyDescent="0.3">
      <c r="A44" s="310"/>
      <c r="B44" s="270">
        <v>2</v>
      </c>
      <c r="C44" s="271">
        <v>2</v>
      </c>
      <c r="D44" s="271" t="s">
        <v>129</v>
      </c>
      <c r="E44" s="271" t="s">
        <v>129</v>
      </c>
      <c r="F44" s="272"/>
      <c r="G44" s="271" t="s">
        <v>129</v>
      </c>
      <c r="H44" s="271" t="s">
        <v>129</v>
      </c>
      <c r="I44" s="271" t="s">
        <v>129</v>
      </c>
      <c r="J44" s="273" t="s">
        <v>129</v>
      </c>
      <c r="K44" s="292">
        <v>0</v>
      </c>
      <c r="L44" s="270" t="s">
        <v>129</v>
      </c>
      <c r="M44" s="271">
        <v>3</v>
      </c>
      <c r="N44" s="271">
        <v>3</v>
      </c>
      <c r="O44" s="293">
        <v>0</v>
      </c>
      <c r="P44" s="271" t="s">
        <v>129</v>
      </c>
      <c r="Q44" s="271" t="s">
        <v>129</v>
      </c>
      <c r="R44" s="273">
        <v>3</v>
      </c>
      <c r="S44" s="292">
        <v>0</v>
      </c>
      <c r="T44" s="294" t="s">
        <v>129</v>
      </c>
      <c r="U44" s="295"/>
      <c r="V44" s="296" t="s">
        <v>129</v>
      </c>
      <c r="W44" s="297"/>
      <c r="X44" s="294" t="s">
        <v>129</v>
      </c>
      <c r="Y44" s="298"/>
      <c r="Z44" s="297"/>
      <c r="AA44" s="299">
        <v>0</v>
      </c>
      <c r="AB44" s="281">
        <f>SUM(K44,O44,S44,AA44)</f>
        <v>0</v>
      </c>
      <c r="AC44" s="311">
        <f t="shared" ref="AC44" si="24">SUM(AB17,AB44)</f>
        <v>0</v>
      </c>
      <c r="AD44" s="282"/>
      <c r="AE44" s="300"/>
      <c r="AF44" s="301"/>
      <c r="AG44" s="300"/>
      <c r="AH44" s="302"/>
      <c r="AI44" s="303"/>
      <c r="AJ44" s="304"/>
      <c r="AK44" s="302"/>
      <c r="AL44" s="281"/>
      <c r="AM44" s="290"/>
      <c r="AN44" s="290"/>
      <c r="AO44" s="290"/>
      <c r="AP44" s="290"/>
      <c r="AQ44" s="281"/>
      <c r="AR44" s="121"/>
      <c r="AS44" s="121"/>
      <c r="AT44" s="121"/>
      <c r="AU44" s="121"/>
      <c r="AV44" s="121"/>
      <c r="AW44" s="121"/>
      <c r="AX44" s="121"/>
      <c r="AY44" s="121"/>
      <c r="AZ44" s="121"/>
    </row>
    <row r="45" spans="1:53" ht="14.25" customHeight="1" x14ac:dyDescent="0.25">
      <c r="A45" s="254" t="s">
        <v>10</v>
      </c>
      <c r="B45" s="89" t="s">
        <v>53</v>
      </c>
      <c r="C45" s="90" t="s">
        <v>46</v>
      </c>
      <c r="D45" s="90" t="s">
        <v>64</v>
      </c>
      <c r="E45" s="90" t="s">
        <v>43</v>
      </c>
      <c r="F45" s="91"/>
      <c r="G45" s="90" t="s">
        <v>42</v>
      </c>
      <c r="H45" s="90" t="s">
        <v>56</v>
      </c>
      <c r="I45" s="90" t="s">
        <v>51</v>
      </c>
      <c r="J45" s="92" t="s">
        <v>45</v>
      </c>
      <c r="K45" s="93"/>
      <c r="L45" s="89" t="s">
        <v>59</v>
      </c>
      <c r="M45" s="90" t="s">
        <v>49</v>
      </c>
      <c r="N45" s="90" t="s">
        <v>75</v>
      </c>
      <c r="O45" s="91"/>
      <c r="P45" s="90" t="s">
        <v>44</v>
      </c>
      <c r="Q45" s="90" t="s">
        <v>67</v>
      </c>
      <c r="R45" s="92" t="s">
        <v>63</v>
      </c>
      <c r="S45" s="116"/>
      <c r="T45" s="255" t="s">
        <v>59</v>
      </c>
      <c r="U45" s="256"/>
      <c r="V45" s="258" t="s">
        <v>42</v>
      </c>
      <c r="W45" s="259"/>
      <c r="X45" s="255" t="s">
        <v>59</v>
      </c>
      <c r="Y45" s="257"/>
      <c r="Z45" s="259"/>
      <c r="AA45" s="94"/>
      <c r="AB45" s="87"/>
      <c r="AC45" s="87"/>
      <c r="AD45" s="95"/>
      <c r="AE45" s="171">
        <f t="shared" ref="AE45" si="25">SUM(B46,C46,D46,E46,G46,H46,I46,J46,L46,M46,N46,P46,R46,Q46,T46,V46,X46)</f>
        <v>8</v>
      </c>
      <c r="AF45" s="192"/>
      <c r="AG45" s="171">
        <f>Z18</f>
        <v>9</v>
      </c>
      <c r="AH45" s="172"/>
      <c r="AI45" s="252">
        <f t="shared" ref="AI45" si="26">SUM(AE45,AG45)</f>
        <v>17</v>
      </c>
      <c r="AJ45" s="141"/>
      <c r="AK45" s="253"/>
      <c r="AL45" s="87"/>
      <c r="AM45" s="141">
        <f t="shared" ref="AM45" si="27">SUM(AC46,AI45)</f>
        <v>17</v>
      </c>
      <c r="AN45" s="141"/>
      <c r="AO45" s="141"/>
      <c r="AP45" s="141"/>
      <c r="AQ45" s="87"/>
      <c r="AR45" s="120" t="s">
        <v>174</v>
      </c>
      <c r="AS45" s="120"/>
      <c r="AT45" s="120"/>
      <c r="AU45" s="120"/>
      <c r="AV45" s="120"/>
      <c r="AW45" s="120"/>
      <c r="AX45" s="120"/>
      <c r="AY45" s="120"/>
      <c r="AZ45" s="120"/>
    </row>
    <row r="46" spans="1:53" ht="14.25" customHeight="1" thickBot="1" x14ac:dyDescent="0.3">
      <c r="A46" s="198"/>
      <c r="B46" s="89" t="s">
        <v>129</v>
      </c>
      <c r="C46" s="90" t="s">
        <v>129</v>
      </c>
      <c r="D46" s="90" t="s">
        <v>129</v>
      </c>
      <c r="E46" s="90" t="s">
        <v>129</v>
      </c>
      <c r="F46" s="91"/>
      <c r="G46" s="90">
        <v>2</v>
      </c>
      <c r="H46" s="90" t="s">
        <v>129</v>
      </c>
      <c r="I46" s="90" t="s">
        <v>129</v>
      </c>
      <c r="J46" s="92" t="s">
        <v>129</v>
      </c>
      <c r="K46" s="97">
        <v>0</v>
      </c>
      <c r="L46" s="89">
        <v>3</v>
      </c>
      <c r="M46" s="90" t="s">
        <v>129</v>
      </c>
      <c r="N46" s="90" t="s">
        <v>129</v>
      </c>
      <c r="O46" s="98">
        <v>0</v>
      </c>
      <c r="P46" s="90" t="s">
        <v>129</v>
      </c>
      <c r="Q46" s="90">
        <v>3</v>
      </c>
      <c r="R46" s="92" t="s">
        <v>129</v>
      </c>
      <c r="S46" s="97">
        <v>0</v>
      </c>
      <c r="T46" s="182" t="s">
        <v>129</v>
      </c>
      <c r="U46" s="183"/>
      <c r="V46" s="184" t="s">
        <v>129</v>
      </c>
      <c r="W46" s="185"/>
      <c r="X46" s="182" t="s">
        <v>129</v>
      </c>
      <c r="Y46" s="186"/>
      <c r="Z46" s="185"/>
      <c r="AA46" s="99">
        <v>0</v>
      </c>
      <c r="AB46" s="87">
        <f>SUM(K46,O46,S46,AA46)</f>
        <v>0</v>
      </c>
      <c r="AC46" s="108">
        <f t="shared" ref="AC46" si="28">SUM(AB19,AB46)</f>
        <v>0</v>
      </c>
      <c r="AD46" s="95"/>
      <c r="AE46" s="173"/>
      <c r="AF46" s="193"/>
      <c r="AG46" s="173"/>
      <c r="AH46" s="140"/>
      <c r="AI46" s="138"/>
      <c r="AJ46" s="139"/>
      <c r="AK46" s="140"/>
      <c r="AL46" s="87"/>
      <c r="AM46" s="141"/>
      <c r="AN46" s="141"/>
      <c r="AO46" s="141"/>
      <c r="AP46" s="141"/>
      <c r="AQ46" s="87"/>
      <c r="AR46" s="120"/>
      <c r="AS46" s="120"/>
      <c r="AT46" s="120"/>
      <c r="AU46" s="120"/>
      <c r="AV46" s="120"/>
      <c r="AW46" s="120"/>
      <c r="AX46" s="120"/>
      <c r="AY46" s="120"/>
      <c r="AZ46" s="120"/>
    </row>
    <row r="47" spans="1:53" ht="14.25" customHeight="1" x14ac:dyDescent="0.25">
      <c r="A47" s="254" t="s">
        <v>74</v>
      </c>
      <c r="B47" s="89" t="s">
        <v>53</v>
      </c>
      <c r="C47" s="90" t="s">
        <v>46</v>
      </c>
      <c r="D47" s="90" t="s">
        <v>50</v>
      </c>
      <c r="E47" s="90" t="s">
        <v>43</v>
      </c>
      <c r="F47" s="91"/>
      <c r="G47" s="90" t="s">
        <v>42</v>
      </c>
      <c r="H47" s="90" t="s">
        <v>56</v>
      </c>
      <c r="I47" s="90" t="s">
        <v>51</v>
      </c>
      <c r="J47" s="92" t="s">
        <v>45</v>
      </c>
      <c r="K47" s="108"/>
      <c r="L47" s="89" t="s">
        <v>53</v>
      </c>
      <c r="M47" s="90" t="s">
        <v>46</v>
      </c>
      <c r="N47" s="90" t="s">
        <v>43</v>
      </c>
      <c r="O47" s="91"/>
      <c r="P47" s="90" t="s">
        <v>42</v>
      </c>
      <c r="Q47" s="90" t="s">
        <v>56</v>
      </c>
      <c r="R47" s="92" t="s">
        <v>45</v>
      </c>
      <c r="S47" s="87"/>
      <c r="T47" s="255" t="s">
        <v>43</v>
      </c>
      <c r="U47" s="256"/>
      <c r="V47" s="257" t="s">
        <v>42</v>
      </c>
      <c r="W47" s="257"/>
      <c r="X47" s="187" t="s">
        <v>43</v>
      </c>
      <c r="Y47" s="191"/>
      <c r="Z47" s="190"/>
      <c r="AA47" s="94"/>
      <c r="AB47" s="87"/>
      <c r="AC47" s="87"/>
      <c r="AD47" s="95"/>
      <c r="AE47" s="171">
        <f t="shared" ref="AE47" si="29">SUM(B48,C48,D48,E48,G48,H48,I48,J48,L48,M48,N48,P48,Q48,R48,T48,V48,X48)</f>
        <v>8</v>
      </c>
      <c r="AF47" s="192"/>
      <c r="AG47" s="171">
        <f>Z20</f>
        <v>10</v>
      </c>
      <c r="AH47" s="172"/>
      <c r="AI47" s="252">
        <f t="shared" ref="AI47" si="30">SUM(AE47,AG47)</f>
        <v>18</v>
      </c>
      <c r="AJ47" s="141"/>
      <c r="AK47" s="253"/>
      <c r="AL47" s="87"/>
      <c r="AM47" s="141">
        <f t="shared" ref="AM47" si="31">SUM(AC48,AI47)</f>
        <v>18</v>
      </c>
      <c r="AN47" s="141"/>
      <c r="AO47" s="141"/>
      <c r="AP47" s="141"/>
      <c r="AQ47" s="87"/>
      <c r="AR47" s="120" t="s">
        <v>175</v>
      </c>
      <c r="AS47" s="120"/>
      <c r="AT47" s="120"/>
      <c r="AU47" s="120"/>
      <c r="AV47" s="120"/>
      <c r="AW47" s="120"/>
      <c r="AX47" s="120"/>
      <c r="AY47" s="120"/>
      <c r="AZ47" s="120"/>
    </row>
    <row r="48" spans="1:53" ht="14.25" customHeight="1" thickBot="1" x14ac:dyDescent="0.3">
      <c r="A48" s="198"/>
      <c r="B48" s="89" t="s">
        <v>129</v>
      </c>
      <c r="C48" s="90" t="s">
        <v>129</v>
      </c>
      <c r="D48" s="90" t="s">
        <v>129</v>
      </c>
      <c r="E48" s="90" t="s">
        <v>129</v>
      </c>
      <c r="F48" s="91"/>
      <c r="G48" s="90">
        <v>2</v>
      </c>
      <c r="H48" s="90" t="s">
        <v>129</v>
      </c>
      <c r="I48" s="90" t="s">
        <v>129</v>
      </c>
      <c r="J48" s="92" t="s">
        <v>129</v>
      </c>
      <c r="K48" s="118">
        <v>0</v>
      </c>
      <c r="L48" s="89">
        <v>3</v>
      </c>
      <c r="M48" s="90" t="s">
        <v>129</v>
      </c>
      <c r="N48" s="90" t="s">
        <v>129</v>
      </c>
      <c r="O48" s="98">
        <v>0</v>
      </c>
      <c r="P48" s="90" t="s">
        <v>129</v>
      </c>
      <c r="Q48" s="90" t="s">
        <v>129</v>
      </c>
      <c r="R48" s="92">
        <v>3</v>
      </c>
      <c r="S48" s="118">
        <v>0</v>
      </c>
      <c r="T48" s="182" t="s">
        <v>129</v>
      </c>
      <c r="U48" s="183"/>
      <c r="V48" s="184" t="s">
        <v>129</v>
      </c>
      <c r="W48" s="185"/>
      <c r="X48" s="182" t="s">
        <v>129</v>
      </c>
      <c r="Y48" s="186"/>
      <c r="Z48" s="185"/>
      <c r="AA48" s="99">
        <v>0</v>
      </c>
      <c r="AB48" s="87">
        <f>SUM(K48,O48,S48,AA48)</f>
        <v>0</v>
      </c>
      <c r="AC48" s="108">
        <f t="shared" ref="AC48" si="32">SUM(AB21,AB48)</f>
        <v>0</v>
      </c>
      <c r="AD48" s="95"/>
      <c r="AE48" s="173"/>
      <c r="AF48" s="193"/>
      <c r="AG48" s="173"/>
      <c r="AH48" s="140"/>
      <c r="AI48" s="138"/>
      <c r="AJ48" s="139"/>
      <c r="AK48" s="140"/>
      <c r="AL48" s="87"/>
      <c r="AM48" s="141"/>
      <c r="AN48" s="141"/>
      <c r="AO48" s="141"/>
      <c r="AP48" s="141"/>
      <c r="AQ48" s="87"/>
      <c r="AR48" s="120"/>
      <c r="AS48" s="120"/>
      <c r="AT48" s="120"/>
      <c r="AU48" s="120"/>
      <c r="AV48" s="120"/>
      <c r="AW48" s="120"/>
      <c r="AX48" s="120"/>
      <c r="AY48" s="120"/>
      <c r="AZ48" s="120"/>
    </row>
    <row r="49" spans="1:52" ht="14.25" customHeight="1" x14ac:dyDescent="0.25">
      <c r="A49" s="268" t="s">
        <v>12</v>
      </c>
      <c r="B49" s="89" t="s">
        <v>53</v>
      </c>
      <c r="C49" s="90" t="s">
        <v>46</v>
      </c>
      <c r="D49" s="90" t="s">
        <v>64</v>
      </c>
      <c r="E49" s="90" t="s">
        <v>43</v>
      </c>
      <c r="F49" s="91"/>
      <c r="G49" s="90" t="s">
        <v>42</v>
      </c>
      <c r="H49" s="90" t="s">
        <v>44</v>
      </c>
      <c r="I49" s="90" t="s">
        <v>72</v>
      </c>
      <c r="J49" s="92" t="s">
        <v>58</v>
      </c>
      <c r="K49" s="108"/>
      <c r="L49" s="89" t="s">
        <v>75</v>
      </c>
      <c r="M49" s="90" t="s">
        <v>48</v>
      </c>
      <c r="N49" s="90" t="s">
        <v>68</v>
      </c>
      <c r="O49" s="91"/>
      <c r="P49" s="90" t="s">
        <v>63</v>
      </c>
      <c r="Q49" s="90" t="s">
        <v>44</v>
      </c>
      <c r="R49" s="92" t="s">
        <v>65</v>
      </c>
      <c r="S49" s="108"/>
      <c r="T49" s="255" t="s">
        <v>53</v>
      </c>
      <c r="U49" s="256"/>
      <c r="V49" s="257" t="s">
        <v>42</v>
      </c>
      <c r="W49" s="257"/>
      <c r="X49" s="187" t="s">
        <v>53</v>
      </c>
      <c r="Y49" s="191"/>
      <c r="Z49" s="190"/>
      <c r="AA49" s="87"/>
      <c r="AB49" s="87"/>
      <c r="AC49" s="87"/>
      <c r="AD49" s="95"/>
      <c r="AE49" s="171">
        <f t="shared" ref="AE49" si="33">SUM(B50,C50,D50,E50,G50,H50,I50,J50,L50,M50,N50,P50,R50,Q50,T50,V50,X50)</f>
        <v>7</v>
      </c>
      <c r="AF49" s="192"/>
      <c r="AG49" s="171">
        <f>Z22</f>
        <v>10</v>
      </c>
      <c r="AH49" s="172"/>
      <c r="AI49" s="252">
        <f t="shared" ref="AI49" si="34">SUM(AE49,AG49)</f>
        <v>17</v>
      </c>
      <c r="AJ49" s="141"/>
      <c r="AK49" s="253"/>
      <c r="AL49" s="87"/>
      <c r="AM49" s="141">
        <f t="shared" ref="AM49" si="35">SUM(AC50,AI49)</f>
        <v>17</v>
      </c>
      <c r="AN49" s="141"/>
      <c r="AO49" s="141"/>
      <c r="AP49" s="141"/>
      <c r="AQ49" s="87"/>
      <c r="AR49" s="199"/>
      <c r="AS49" s="199"/>
      <c r="AT49" s="199"/>
      <c r="AU49" s="199"/>
      <c r="AV49" s="199"/>
      <c r="AW49" s="199"/>
      <c r="AX49" s="199"/>
      <c r="AY49" s="199"/>
      <c r="AZ49" s="199"/>
    </row>
    <row r="50" spans="1:52" ht="14.25" customHeight="1" thickBot="1" x14ac:dyDescent="0.3">
      <c r="A50" s="312"/>
      <c r="B50" s="89" t="s">
        <v>129</v>
      </c>
      <c r="C50" s="90" t="s">
        <v>129</v>
      </c>
      <c r="D50" s="90" t="s">
        <v>129</v>
      </c>
      <c r="E50" s="90" t="s">
        <v>129</v>
      </c>
      <c r="F50" s="113"/>
      <c r="G50" s="90">
        <v>2</v>
      </c>
      <c r="H50" s="90" t="s">
        <v>129</v>
      </c>
      <c r="I50" s="90" t="s">
        <v>129</v>
      </c>
      <c r="J50" s="92">
        <v>2</v>
      </c>
      <c r="K50" s="97">
        <v>0</v>
      </c>
      <c r="L50" s="89" t="s">
        <v>129</v>
      </c>
      <c r="M50" s="90" t="s">
        <v>129</v>
      </c>
      <c r="N50" s="90" t="s">
        <v>129</v>
      </c>
      <c r="O50" s="98">
        <v>0</v>
      </c>
      <c r="P50" s="90" t="s">
        <v>129</v>
      </c>
      <c r="Q50" s="90" t="s">
        <v>129</v>
      </c>
      <c r="R50" s="92">
        <v>3</v>
      </c>
      <c r="S50" s="97">
        <v>0</v>
      </c>
      <c r="T50" s="182" t="s">
        <v>129</v>
      </c>
      <c r="U50" s="183"/>
      <c r="V50" s="184" t="s">
        <v>129</v>
      </c>
      <c r="W50" s="185"/>
      <c r="X50" s="182" t="s">
        <v>129</v>
      </c>
      <c r="Y50" s="186"/>
      <c r="Z50" s="185"/>
      <c r="AA50" s="118">
        <v>0</v>
      </c>
      <c r="AB50" s="87">
        <f>SUM(K50,O50,S50,AA50)</f>
        <v>0</v>
      </c>
      <c r="AC50" s="108">
        <f t="shared" ref="AC50" si="36">SUM(AB23,AB50)</f>
        <v>0</v>
      </c>
      <c r="AD50" s="95"/>
      <c r="AE50" s="173"/>
      <c r="AF50" s="193"/>
      <c r="AG50" s="173"/>
      <c r="AH50" s="140"/>
      <c r="AI50" s="138"/>
      <c r="AJ50" s="139"/>
      <c r="AK50" s="140"/>
      <c r="AL50" s="87"/>
      <c r="AM50" s="141"/>
      <c r="AN50" s="141"/>
      <c r="AO50" s="141"/>
      <c r="AP50" s="141"/>
      <c r="AQ50" s="87"/>
      <c r="AR50" s="199"/>
      <c r="AS50" s="199"/>
      <c r="AT50" s="199"/>
      <c r="AU50" s="199"/>
      <c r="AV50" s="199"/>
      <c r="AW50" s="199"/>
      <c r="AX50" s="199"/>
      <c r="AY50" s="199"/>
      <c r="AZ50" s="199"/>
    </row>
    <row r="51" spans="1:52" ht="11.25" customHeight="1" x14ac:dyDescent="0.25">
      <c r="A51" s="77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 t="s">
        <v>154</v>
      </c>
      <c r="M51" s="71">
        <v>4</v>
      </c>
      <c r="N51" s="71"/>
      <c r="O51" s="71"/>
      <c r="P51" s="71" t="s">
        <v>156</v>
      </c>
      <c r="Q51" s="71">
        <v>3</v>
      </c>
      <c r="R51" s="71"/>
      <c r="S51" s="52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I51" s="46"/>
      <c r="AJ51" s="46"/>
      <c r="AK51" s="46"/>
    </row>
    <row r="52" spans="1:52" ht="11.25" customHeight="1" x14ac:dyDescent="0.25">
      <c r="A52" s="77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 t="s">
        <v>155</v>
      </c>
      <c r="M52" s="71">
        <v>2</v>
      </c>
      <c r="N52" s="71"/>
      <c r="O52" s="71"/>
      <c r="P52" s="71" t="s">
        <v>157</v>
      </c>
      <c r="Q52" s="71">
        <v>2</v>
      </c>
      <c r="R52" s="71"/>
      <c r="S52" s="52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I52" s="46"/>
      <c r="AJ52" s="46"/>
      <c r="AK52" s="46"/>
    </row>
    <row r="53" spans="1:52" ht="11.25" customHeight="1" x14ac:dyDescent="0.25">
      <c r="A53" s="77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 t="s">
        <v>153</v>
      </c>
      <c r="M53" s="71">
        <v>1</v>
      </c>
      <c r="N53" s="71"/>
      <c r="O53" s="71"/>
      <c r="P53" s="71" t="s">
        <v>158</v>
      </c>
      <c r="Q53" s="71">
        <v>2</v>
      </c>
      <c r="R53" s="71"/>
      <c r="S53" s="52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I53" s="46"/>
      <c r="AJ53" s="46"/>
      <c r="AK53" s="46"/>
    </row>
    <row r="54" spans="1:52" ht="12.75" customHeight="1" x14ac:dyDescent="0.25">
      <c r="A54" s="248" t="s">
        <v>33</v>
      </c>
      <c r="B54" s="1"/>
      <c r="C54" s="1"/>
      <c r="D54" s="230" t="s">
        <v>34</v>
      </c>
      <c r="E54" s="230"/>
      <c r="F54" s="2"/>
      <c r="G54" s="3"/>
      <c r="H54" s="66"/>
      <c r="I54" s="230" t="s">
        <v>35</v>
      </c>
      <c r="J54" s="230"/>
      <c r="K54" s="3"/>
      <c r="L54" s="4"/>
      <c r="M54" s="66"/>
      <c r="N54" s="230" t="s">
        <v>36</v>
      </c>
      <c r="O54" s="230"/>
      <c r="P54" s="2"/>
      <c r="Q54" s="5"/>
      <c r="R54" s="66"/>
      <c r="S54" s="66"/>
      <c r="T54" s="2" t="s">
        <v>37</v>
      </c>
      <c r="U54" s="4"/>
      <c r="V54" s="6"/>
      <c r="W54" s="2"/>
      <c r="X54" s="2" t="s">
        <v>38</v>
      </c>
      <c r="Y54" s="2"/>
      <c r="Z54" s="231" t="s">
        <v>39</v>
      </c>
      <c r="AA54" s="232"/>
      <c r="AB54" s="78"/>
      <c r="AC54" s="78"/>
    </row>
    <row r="55" spans="1:52" ht="12.75" customHeight="1" x14ac:dyDescent="0.25">
      <c r="A55" s="249"/>
      <c r="B55" s="7">
        <v>4</v>
      </c>
      <c r="C55" s="8">
        <v>5</v>
      </c>
      <c r="D55" s="8">
        <v>8</v>
      </c>
      <c r="E55" s="8">
        <v>14</v>
      </c>
      <c r="F55" s="8">
        <v>22</v>
      </c>
      <c r="G55" s="9">
        <v>29</v>
      </c>
      <c r="H55" s="7">
        <v>5</v>
      </c>
      <c r="I55" s="10">
        <v>12</v>
      </c>
      <c r="J55" s="8">
        <v>20</v>
      </c>
      <c r="K55" s="9">
        <v>26</v>
      </c>
      <c r="L55" s="10">
        <v>2</v>
      </c>
      <c r="M55" s="8">
        <v>9</v>
      </c>
      <c r="N55" s="8">
        <v>13</v>
      </c>
      <c r="O55" s="8">
        <v>23</v>
      </c>
      <c r="P55" s="8">
        <v>27</v>
      </c>
      <c r="Q55" s="11">
        <v>27</v>
      </c>
      <c r="R55" s="10">
        <v>7</v>
      </c>
      <c r="S55" s="12">
        <v>11</v>
      </c>
      <c r="T55" s="12">
        <v>18</v>
      </c>
      <c r="U55" s="12">
        <v>21</v>
      </c>
      <c r="V55" s="13">
        <v>25</v>
      </c>
      <c r="W55" s="10" t="s">
        <v>40</v>
      </c>
      <c r="X55" s="8" t="s">
        <v>40</v>
      </c>
      <c r="Y55" s="12" t="s">
        <v>40</v>
      </c>
      <c r="Z55" s="233"/>
      <c r="AA55" s="234"/>
      <c r="AB55" s="78"/>
      <c r="AC55" s="78"/>
    </row>
    <row r="56" spans="1:52" ht="12.75" customHeight="1" thickBot="1" x14ac:dyDescent="0.3">
      <c r="A56" s="14" t="s">
        <v>41</v>
      </c>
      <c r="B56" s="15">
        <v>1</v>
      </c>
      <c r="C56" s="16">
        <v>2</v>
      </c>
      <c r="D56" s="16">
        <v>3</v>
      </c>
      <c r="E56" s="16">
        <v>4</v>
      </c>
      <c r="F56" s="16">
        <v>5</v>
      </c>
      <c r="G56" s="17">
        <v>6</v>
      </c>
      <c r="H56" s="18">
        <v>7</v>
      </c>
      <c r="I56" s="18">
        <v>8</v>
      </c>
      <c r="J56" s="16">
        <v>9</v>
      </c>
      <c r="K56" s="17">
        <v>10</v>
      </c>
      <c r="L56" s="18">
        <v>11</v>
      </c>
      <c r="M56" s="16">
        <v>12</v>
      </c>
      <c r="N56" s="16">
        <v>13</v>
      </c>
      <c r="O56" s="16">
        <v>14</v>
      </c>
      <c r="P56" s="16">
        <v>15</v>
      </c>
      <c r="Q56" s="17">
        <v>16</v>
      </c>
      <c r="R56" s="18">
        <v>17</v>
      </c>
      <c r="S56" s="16">
        <v>18</v>
      </c>
      <c r="T56" s="16">
        <v>19</v>
      </c>
      <c r="U56" s="18">
        <v>20</v>
      </c>
      <c r="V56" s="17">
        <v>21</v>
      </c>
      <c r="W56" s="18">
        <v>22</v>
      </c>
      <c r="X56" s="16">
        <v>23</v>
      </c>
      <c r="Y56" s="16">
        <v>24</v>
      </c>
      <c r="Z56" s="235"/>
      <c r="AA56" s="236"/>
      <c r="AB56" s="78" t="s">
        <v>133</v>
      </c>
      <c r="AC56" s="78" t="s">
        <v>134</v>
      </c>
    </row>
    <row r="57" spans="1:52" ht="12.75" customHeight="1" x14ac:dyDescent="0.25">
      <c r="A57" s="68" t="s">
        <v>13</v>
      </c>
      <c r="B57" s="25" t="s">
        <v>57</v>
      </c>
      <c r="C57" s="20" t="s">
        <v>43</v>
      </c>
      <c r="D57" s="20" t="s">
        <v>44</v>
      </c>
      <c r="E57" s="20" t="s">
        <v>64</v>
      </c>
      <c r="F57" s="20" t="s">
        <v>46</v>
      </c>
      <c r="G57" s="20" t="s">
        <v>75</v>
      </c>
      <c r="H57" s="20" t="s">
        <v>68</v>
      </c>
      <c r="I57" s="20" t="s">
        <v>97</v>
      </c>
      <c r="J57" s="20" t="s">
        <v>58</v>
      </c>
      <c r="K57" s="20" t="s">
        <v>70</v>
      </c>
      <c r="L57" s="20" t="s">
        <v>65</v>
      </c>
      <c r="M57" s="20" t="s">
        <v>53</v>
      </c>
      <c r="N57" s="20" t="s">
        <v>61</v>
      </c>
      <c r="O57" s="20" t="s">
        <v>62</v>
      </c>
      <c r="P57" s="20" t="s">
        <v>67</v>
      </c>
      <c r="Q57" s="20" t="s">
        <v>43</v>
      </c>
      <c r="R57" s="20" t="s">
        <v>46</v>
      </c>
      <c r="S57" s="20" t="s">
        <v>72</v>
      </c>
      <c r="T57" s="21" t="s">
        <v>45</v>
      </c>
      <c r="U57" s="20" t="s">
        <v>73</v>
      </c>
      <c r="V57" s="20" t="s">
        <v>63</v>
      </c>
      <c r="W57" s="20" t="s">
        <v>59</v>
      </c>
      <c r="X57" s="20" t="s">
        <v>55</v>
      </c>
      <c r="Y57" s="20" t="s">
        <v>65</v>
      </c>
      <c r="Z57" s="216">
        <f>SUM(B58:Y58)</f>
        <v>8</v>
      </c>
      <c r="AA57" s="134"/>
      <c r="AB57" s="46"/>
      <c r="AC57" s="119">
        <f>SUM(Z57,AB58)</f>
        <v>8</v>
      </c>
    </row>
    <row r="58" spans="1:52" ht="12.75" customHeight="1" thickBot="1" x14ac:dyDescent="0.3">
      <c r="A58" s="67"/>
      <c r="B58" s="22">
        <f>IF(B77="Dallas Cowboys",1,0)</f>
        <v>0</v>
      </c>
      <c r="C58" s="23">
        <f>IF(C77="Kansas City Chiefs",1,0)</f>
        <v>0</v>
      </c>
      <c r="D58" s="23">
        <f>IF(D77="Minnesota Vikings",1,0)</f>
        <v>1</v>
      </c>
      <c r="E58" s="23">
        <f>IF(E77="Tennessee Titans",1,0)</f>
        <v>0</v>
      </c>
      <c r="F58" s="23">
        <f>IF(F77="Baltimore Ravens",1,0)</f>
        <v>0</v>
      </c>
      <c r="G58" s="23">
        <f>IF(G77="Cincinnati Bengals",1,0)</f>
        <v>0</v>
      </c>
      <c r="H58" s="23">
        <f>IF(H77="Las Vegas Raiders",1,0)</f>
        <v>0</v>
      </c>
      <c r="I58" s="23">
        <f>IF(I77="Cleveland Browns",1,0)</f>
        <v>0</v>
      </c>
      <c r="J58" s="23">
        <f>IF(J77="Seattle Seahawks",1,0)</f>
        <v>1</v>
      </c>
      <c r="K58" s="23">
        <f>IF(K77="New Orleans Saints",1,0)</f>
        <v>0</v>
      </c>
      <c r="L58" s="23">
        <f>IF(L77="San Francisco 49ers",1,0)</f>
        <v>1</v>
      </c>
      <c r="M58" s="23">
        <f>IF(M77="Buffalo Bills",1,0)</f>
        <v>0</v>
      </c>
      <c r="N58" s="23">
        <f>IF(N77="New England Patriots",1,0)</f>
        <v>1</v>
      </c>
      <c r="O58" s="23">
        <f>IF(O77="Arizona Cardinals",1,0)</f>
        <v>0</v>
      </c>
      <c r="P58" s="23">
        <f>IF(P77="Green Bay Packers",1,0)</f>
        <v>1</v>
      </c>
      <c r="Q58" s="23">
        <f>IF(Q77="Kansas City Chiefs",1,0)</f>
        <v>0</v>
      </c>
      <c r="R58" s="23">
        <f>IF(R77="Baltimore Ravens",1,0)</f>
        <v>0</v>
      </c>
      <c r="S58" s="23">
        <f>IF(S77="Atlanta Falcons",1,0)</f>
        <v>1</v>
      </c>
      <c r="T58" s="23">
        <f>IF(T77="Los Angeles Rams",1,0)</f>
        <v>0</v>
      </c>
      <c r="U58" s="23">
        <f>IF(U77="Carolina Panthers",1,0)</f>
        <v>1</v>
      </c>
      <c r="V58" s="23">
        <f>IF(V77="Washington Commanders",1,0)</f>
        <v>0</v>
      </c>
      <c r="W58" s="23">
        <f>IF(W77="Los Angeles Chargers",1,0)</f>
        <v>0</v>
      </c>
      <c r="X58" s="23">
        <f>IF(X77="Jacksonville Jaguars",1,0)</f>
        <v>1</v>
      </c>
      <c r="Y58" s="24">
        <f>IF(Y77="San Francisco 49ers",1,0)</f>
        <v>0</v>
      </c>
      <c r="Z58" s="125"/>
      <c r="AA58" s="127"/>
      <c r="AB58" s="46"/>
      <c r="AC58" s="119"/>
    </row>
    <row r="59" spans="1:52" ht="12.75" customHeight="1" x14ac:dyDescent="0.25">
      <c r="A59" s="68" t="s">
        <v>14</v>
      </c>
      <c r="B59" s="19" t="s">
        <v>42</v>
      </c>
      <c r="C59" s="20" t="s">
        <v>43</v>
      </c>
      <c r="D59" s="20" t="s">
        <v>44</v>
      </c>
      <c r="E59" s="20" t="s">
        <v>45</v>
      </c>
      <c r="F59" s="20" t="s">
        <v>46</v>
      </c>
      <c r="G59" s="20" t="s">
        <v>47</v>
      </c>
      <c r="H59" s="20" t="s">
        <v>68</v>
      </c>
      <c r="I59" s="20" t="s">
        <v>97</v>
      </c>
      <c r="J59" s="20" t="s">
        <v>58</v>
      </c>
      <c r="K59" s="20" t="s">
        <v>51</v>
      </c>
      <c r="L59" s="20" t="s">
        <v>65</v>
      </c>
      <c r="M59" s="20" t="s">
        <v>71</v>
      </c>
      <c r="N59" s="20" t="s">
        <v>54</v>
      </c>
      <c r="O59" s="20" t="s">
        <v>62</v>
      </c>
      <c r="P59" s="20" t="s">
        <v>56</v>
      </c>
      <c r="Q59" s="20" t="s">
        <v>43</v>
      </c>
      <c r="R59" s="20" t="s">
        <v>46</v>
      </c>
      <c r="S59" s="20" t="s">
        <v>51</v>
      </c>
      <c r="T59" s="21" t="s">
        <v>58</v>
      </c>
      <c r="U59" s="20" t="s">
        <v>51</v>
      </c>
      <c r="V59" s="20" t="s">
        <v>57</v>
      </c>
      <c r="W59" s="20" t="s">
        <v>59</v>
      </c>
      <c r="X59" s="20" t="s">
        <v>64</v>
      </c>
      <c r="Y59" s="20" t="s">
        <v>65</v>
      </c>
      <c r="Z59" s="216">
        <f>SUM(B60:Y60)</f>
        <v>10</v>
      </c>
      <c r="AA59" s="134"/>
      <c r="AB59" s="46"/>
      <c r="AC59" s="119">
        <f>SUM(Z59,AB60)</f>
        <v>10</v>
      </c>
    </row>
    <row r="60" spans="1:52" ht="12.75" customHeight="1" thickBot="1" x14ac:dyDescent="0.3">
      <c r="A60" s="67"/>
      <c r="B60" s="22">
        <f>IF(B77="Philadelphia Eagles",1,0)</f>
        <v>1</v>
      </c>
      <c r="C60" s="23">
        <f>IF(C77="Kansas City Chiefs",1,0)</f>
        <v>0</v>
      </c>
      <c r="D60" s="23">
        <f>IF(D77="Minnesota Vikings",1,0)</f>
        <v>1</v>
      </c>
      <c r="E60" s="23">
        <f>IF(E77="Los Angeles Rams",1,0)</f>
        <v>1</v>
      </c>
      <c r="F60" s="23">
        <f>IF(F77="Baltimore Ravens",1,0)</f>
        <v>0</v>
      </c>
      <c r="G60" s="23">
        <f>IF(G77="Denver Broncos",1,0)</f>
        <v>1</v>
      </c>
      <c r="H60" s="23">
        <f>IF(H77="Las Vegas Raiders",1,0)</f>
        <v>0</v>
      </c>
      <c r="I60" s="23">
        <f>IF(I77="Cleveland Browns",1,0)</f>
        <v>0</v>
      </c>
      <c r="J60" s="23">
        <f>IF(J77="Seattle Seahawks",1,0)</f>
        <v>1</v>
      </c>
      <c r="K60" s="23">
        <f>IF(K77="Tampa Bay Buccaneers",1,0)</f>
        <v>1</v>
      </c>
      <c r="L60" s="23">
        <f>IF(L77="San Francisco 49ers",1,0)</f>
        <v>1</v>
      </c>
      <c r="M60" s="23">
        <f>IF(M77="Miami Dolphins",1,0)</f>
        <v>1</v>
      </c>
      <c r="N60" s="23">
        <f>IF(N77="New York Jets",1,0)</f>
        <v>0</v>
      </c>
      <c r="O60" s="23">
        <f>IF(O77="Arizona Cardinals",1,0)</f>
        <v>0</v>
      </c>
      <c r="P60" s="23">
        <f>IF(P77="Detroit Lions",1,0)</f>
        <v>0</v>
      </c>
      <c r="Q60" s="23">
        <f>IF(Q77="Kansas City Chiefs",1,0)</f>
        <v>0</v>
      </c>
      <c r="R60" s="23">
        <f>IF(R77="Baltimore Ravens",1,0)</f>
        <v>0</v>
      </c>
      <c r="S60" s="23">
        <f>IF(S77="Tampa Bay Buccaneers",1,0)</f>
        <v>0</v>
      </c>
      <c r="T60" s="23">
        <f>IF(T77="Seattle Seahawks",1,0)</f>
        <v>1</v>
      </c>
      <c r="U60" s="23">
        <f>IF(U77="Tampa Bay Buccaneers",1,0)</f>
        <v>0</v>
      </c>
      <c r="V60" s="23">
        <f>IF(V77="Dallas Cowboys",1,0)</f>
        <v>1</v>
      </c>
      <c r="W60" s="23">
        <f>IF(W77="Los Angeles Chargers",1,0)</f>
        <v>0</v>
      </c>
      <c r="X60" s="23">
        <f>IF(X77="Tennessee Titans",1,0)</f>
        <v>0</v>
      </c>
      <c r="Y60" s="24">
        <f>IF(Y77="San Francisco 49ers",1,0)</f>
        <v>0</v>
      </c>
      <c r="Z60" s="125"/>
      <c r="AA60" s="127"/>
      <c r="AB60" s="46"/>
      <c r="AC60" s="119"/>
    </row>
    <row r="61" spans="1:52" ht="12.75" customHeight="1" x14ac:dyDescent="0.25">
      <c r="A61" s="68" t="s">
        <v>15</v>
      </c>
      <c r="B61" s="19" t="s">
        <v>42</v>
      </c>
      <c r="C61" s="20" t="s">
        <v>59</v>
      </c>
      <c r="D61" s="20" t="s">
        <v>44</v>
      </c>
      <c r="E61" s="20" t="s">
        <v>64</v>
      </c>
      <c r="F61" s="20" t="s">
        <v>46</v>
      </c>
      <c r="G61" s="20" t="s">
        <v>75</v>
      </c>
      <c r="H61" s="20" t="s">
        <v>68</v>
      </c>
      <c r="I61" s="20" t="s">
        <v>49</v>
      </c>
      <c r="J61" s="20" t="s">
        <v>50</v>
      </c>
      <c r="K61" s="20" t="s">
        <v>51</v>
      </c>
      <c r="L61" s="20" t="s">
        <v>65</v>
      </c>
      <c r="M61" s="20" t="s">
        <v>53</v>
      </c>
      <c r="N61" s="20" t="s">
        <v>61</v>
      </c>
      <c r="O61" s="20" t="s">
        <v>62</v>
      </c>
      <c r="P61" s="20" t="s">
        <v>56</v>
      </c>
      <c r="Q61" s="20" t="s">
        <v>43</v>
      </c>
      <c r="R61" s="20" t="s">
        <v>46</v>
      </c>
      <c r="S61" s="20" t="s">
        <v>51</v>
      </c>
      <c r="T61" s="21" t="s">
        <v>45</v>
      </c>
      <c r="U61" s="20" t="s">
        <v>51</v>
      </c>
      <c r="V61" s="20" t="s">
        <v>63</v>
      </c>
      <c r="W61" s="20" t="s">
        <v>59</v>
      </c>
      <c r="X61" s="20" t="s">
        <v>64</v>
      </c>
      <c r="Y61" s="20" t="s">
        <v>65</v>
      </c>
      <c r="Z61" s="216">
        <f>SUM(B62:Y62)</f>
        <v>7</v>
      </c>
      <c r="AA61" s="134"/>
      <c r="AB61" s="46"/>
      <c r="AC61" s="119">
        <f>SUM(Z61,AB62)</f>
        <v>7</v>
      </c>
    </row>
    <row r="62" spans="1:52" ht="12.75" customHeight="1" thickBot="1" x14ac:dyDescent="0.3">
      <c r="A62" s="67"/>
      <c r="B62" s="22">
        <f>IF(B77="Philadelphia Eagles",1,0)</f>
        <v>1</v>
      </c>
      <c r="C62" s="23">
        <f>IF(C77="Los Angeles Chargers",1,0)</f>
        <v>1</v>
      </c>
      <c r="D62" s="23">
        <f>IF(D77="Minnesota Vikings",1,0)</f>
        <v>1</v>
      </c>
      <c r="E62" s="23">
        <f>IF(E77="Tennessee Titans",1,0)</f>
        <v>0</v>
      </c>
      <c r="F62" s="23">
        <f>IF(F77="Baltimore Ravens",1,0)</f>
        <v>0</v>
      </c>
      <c r="G62" s="23">
        <f>IF(G77="Cincinnati Bengals",1,0)</f>
        <v>0</v>
      </c>
      <c r="H62" s="23">
        <f>IF(H77="Las Vegas Raiders",1,0)</f>
        <v>0</v>
      </c>
      <c r="I62" s="23">
        <f>IF(I77="Pittsburgh Steelers",1,0)</f>
        <v>1</v>
      </c>
      <c r="J62" s="23">
        <f>IF(J77="Houston Texans",1,0)</f>
        <v>0</v>
      </c>
      <c r="K62" s="23">
        <f>IF(K77="Tampa Bay Buccaneers",1,0)</f>
        <v>1</v>
      </c>
      <c r="L62" s="23">
        <f>IF(L77="San Francisco 49ers",1,0)</f>
        <v>1</v>
      </c>
      <c r="M62" s="23">
        <f>IF(M77="Buffalo Bills",1,0)</f>
        <v>0</v>
      </c>
      <c r="N62" s="23">
        <f>IF(N77="New England Patriots",1,0)</f>
        <v>1</v>
      </c>
      <c r="O62" s="23">
        <f>IF(O77="Arizona Cardinals",1,0)</f>
        <v>0</v>
      </c>
      <c r="P62" s="23">
        <f>IF(P77="Detroit Lions",1,0)</f>
        <v>0</v>
      </c>
      <c r="Q62" s="23">
        <f>IF(Q77="Kansas City Chiefs",1,0)</f>
        <v>0</v>
      </c>
      <c r="R62" s="23">
        <f>IF(R77="Baltimore Ravens",1,0)</f>
        <v>0</v>
      </c>
      <c r="S62" s="23">
        <f>IF(S77="Tampa Bay Buccaneers",1,0)</f>
        <v>0</v>
      </c>
      <c r="T62" s="23">
        <f>IF(T77="Los Angeles Rams",1,0)</f>
        <v>0</v>
      </c>
      <c r="U62" s="23">
        <f>IF(U77="Tampa Bay Buccaneers",1,0)</f>
        <v>0</v>
      </c>
      <c r="V62" s="23">
        <f>IF(V77="Washington Commanders",1,0)</f>
        <v>0</v>
      </c>
      <c r="W62" s="23">
        <f>IF(W77="Los Angeles Chargers",1,0)</f>
        <v>0</v>
      </c>
      <c r="X62" s="23">
        <f>IF(X77="Tennessee Titans",1,0)</f>
        <v>0</v>
      </c>
      <c r="Y62" s="24">
        <f>IF(Y77="San Francisco 49ers",1,0)</f>
        <v>0</v>
      </c>
      <c r="Z62" s="125"/>
      <c r="AA62" s="127"/>
      <c r="AB62" s="46"/>
      <c r="AC62" s="119"/>
    </row>
    <row r="63" spans="1:52" ht="12.75" customHeight="1" x14ac:dyDescent="0.25">
      <c r="A63" s="68" t="s">
        <v>16</v>
      </c>
      <c r="B63" s="19" t="s">
        <v>42</v>
      </c>
      <c r="C63" s="20" t="s">
        <v>59</v>
      </c>
      <c r="D63" s="20" t="s">
        <v>44</v>
      </c>
      <c r="E63" s="20" t="s">
        <v>45</v>
      </c>
      <c r="F63" s="20" t="s">
        <v>56</v>
      </c>
      <c r="G63" s="20" t="s">
        <v>47</v>
      </c>
      <c r="H63" s="20" t="s">
        <v>68</v>
      </c>
      <c r="I63" s="20" t="s">
        <v>49</v>
      </c>
      <c r="J63" s="20" t="s">
        <v>58</v>
      </c>
      <c r="K63" s="20" t="s">
        <v>51</v>
      </c>
      <c r="L63" s="20" t="s">
        <v>65</v>
      </c>
      <c r="M63" s="20" t="s">
        <v>53</v>
      </c>
      <c r="N63" s="20" t="s">
        <v>61</v>
      </c>
      <c r="O63" s="20" t="s">
        <v>55</v>
      </c>
      <c r="P63" s="20" t="s">
        <v>56</v>
      </c>
      <c r="Q63" s="20" t="s">
        <v>57</v>
      </c>
      <c r="R63" s="20" t="s">
        <v>46</v>
      </c>
      <c r="S63" s="20" t="s">
        <v>51</v>
      </c>
      <c r="T63" s="21" t="s">
        <v>58</v>
      </c>
      <c r="U63" s="20" t="s">
        <v>51</v>
      </c>
      <c r="V63" s="20" t="s">
        <v>63</v>
      </c>
      <c r="W63" s="20" t="s">
        <v>59</v>
      </c>
      <c r="X63" s="20" t="s">
        <v>55</v>
      </c>
      <c r="Y63" s="20" t="s">
        <v>65</v>
      </c>
      <c r="Z63" s="216">
        <f>SUM(B64:Y64)</f>
        <v>15</v>
      </c>
      <c r="AA63" s="134"/>
      <c r="AB63" s="46"/>
      <c r="AC63" s="119">
        <f>SUM(Z63,AB64)</f>
        <v>15</v>
      </c>
    </row>
    <row r="64" spans="1:52" ht="12.75" customHeight="1" thickBot="1" x14ac:dyDescent="0.3">
      <c r="A64" s="67"/>
      <c r="B64" s="22">
        <f>IF(B77="Philadelphia Eagles",1,0)</f>
        <v>1</v>
      </c>
      <c r="C64" s="23">
        <f>IF(C77="Los Angeles Chargers",1,0)</f>
        <v>1</v>
      </c>
      <c r="D64" s="23">
        <f>IF(D77="Minnesota Vikings",1,0)</f>
        <v>1</v>
      </c>
      <c r="E64" s="23">
        <f>IF(E77="Los Angeles Rams",1,0)</f>
        <v>1</v>
      </c>
      <c r="F64" s="23">
        <f>IF(F77="Detroit Lions",1,0)</f>
        <v>1</v>
      </c>
      <c r="G64" s="23">
        <f>IF(G77="Denver Broncos",1,0)</f>
        <v>1</v>
      </c>
      <c r="H64" s="23">
        <f>IF(H77="Las Vegas Raiders",1,0)</f>
        <v>0</v>
      </c>
      <c r="I64" s="23">
        <f>IF(I77="Pittsburgh Steelers",1,0)</f>
        <v>1</v>
      </c>
      <c r="J64" s="23">
        <f>IF(J77="Seattle Seahawks",1,0)</f>
        <v>1</v>
      </c>
      <c r="K64" s="23">
        <f>IF(K77="Tampa Bay Buccaneers",1,0)</f>
        <v>1</v>
      </c>
      <c r="L64" s="23">
        <f>IF(L77="San Francisco 49ers",1,0)</f>
        <v>1</v>
      </c>
      <c r="M64" s="23">
        <f>IF(M77="Buffalo Bills",1,0)</f>
        <v>0</v>
      </c>
      <c r="N64" s="23">
        <f>IF(N77="New England Patriots",1,0)</f>
        <v>1</v>
      </c>
      <c r="O64" s="23">
        <f>IF(O77="Jacksonville Jaguars",1,0)</f>
        <v>1</v>
      </c>
      <c r="P64" s="23">
        <f>IF(P77="Detroit Lions",1,0)</f>
        <v>0</v>
      </c>
      <c r="Q64" s="23">
        <f>IF(Q77="Dallas Cowboys",1,0)</f>
        <v>1</v>
      </c>
      <c r="R64" s="23">
        <f>IF(R77="Baltimore Ravens",1,0)</f>
        <v>0</v>
      </c>
      <c r="S64" s="23">
        <f>IF(S77="Tampa Bay Buccaneers",1,0)</f>
        <v>0</v>
      </c>
      <c r="T64" s="23">
        <f>IF(T77="Seattle Seahawks",1,0)</f>
        <v>1</v>
      </c>
      <c r="U64" s="23">
        <f>IF(U77="Tampa Bay Buccaneers",1,0)</f>
        <v>0</v>
      </c>
      <c r="V64" s="23">
        <f>IF(V77="Washington Commanders",1,0)</f>
        <v>0</v>
      </c>
      <c r="W64" s="23">
        <f>IF(W77="Los Angeles Chargers",1,0)</f>
        <v>0</v>
      </c>
      <c r="X64" s="23">
        <f>IF(X77="Jacksonville Jaguars",1,0)</f>
        <v>1</v>
      </c>
      <c r="Y64" s="24">
        <f>IF(Y77="San Francisco 49ers",1,0)</f>
        <v>0</v>
      </c>
      <c r="Z64" s="125"/>
      <c r="AA64" s="127"/>
      <c r="AB64" s="46"/>
      <c r="AC64" s="119"/>
    </row>
    <row r="65" spans="1:43" ht="12.75" customHeight="1" x14ac:dyDescent="0.25">
      <c r="A65" s="68" t="s">
        <v>17</v>
      </c>
      <c r="B65" s="19" t="s">
        <v>42</v>
      </c>
      <c r="C65" s="20" t="s">
        <v>43</v>
      </c>
      <c r="D65" s="20" t="s">
        <v>60</v>
      </c>
      <c r="E65" s="20" t="s">
        <v>45</v>
      </c>
      <c r="F65" s="20" t="s">
        <v>46</v>
      </c>
      <c r="G65" s="20" t="s">
        <v>47</v>
      </c>
      <c r="H65" s="20" t="s">
        <v>48</v>
      </c>
      <c r="I65" s="20" t="s">
        <v>49</v>
      </c>
      <c r="J65" s="20" t="s">
        <v>50</v>
      </c>
      <c r="K65" s="20" t="s">
        <v>51</v>
      </c>
      <c r="L65" s="20" t="s">
        <v>65</v>
      </c>
      <c r="M65" s="20" t="s">
        <v>53</v>
      </c>
      <c r="N65" s="20" t="s">
        <v>61</v>
      </c>
      <c r="O65" s="20" t="s">
        <v>62</v>
      </c>
      <c r="P65" s="20" t="s">
        <v>56</v>
      </c>
      <c r="Q65" s="20" t="s">
        <v>43</v>
      </c>
      <c r="R65" s="20" t="s">
        <v>46</v>
      </c>
      <c r="S65" s="20" t="s">
        <v>51</v>
      </c>
      <c r="T65" s="21" t="s">
        <v>45</v>
      </c>
      <c r="U65" s="20" t="s">
        <v>51</v>
      </c>
      <c r="V65" s="20" t="s">
        <v>63</v>
      </c>
      <c r="W65" s="20" t="s">
        <v>47</v>
      </c>
      <c r="X65" s="20" t="s">
        <v>55</v>
      </c>
      <c r="Y65" s="20" t="s">
        <v>65</v>
      </c>
      <c r="Z65" s="216">
        <f>SUM(B66:Y66)</f>
        <v>10</v>
      </c>
      <c r="AA65" s="134"/>
      <c r="AB65" s="46"/>
      <c r="AC65" s="119">
        <f>SUM(Z65,AB66)</f>
        <v>10</v>
      </c>
    </row>
    <row r="66" spans="1:43" ht="12.75" customHeight="1" thickBot="1" x14ac:dyDescent="0.3">
      <c r="A66" s="67"/>
      <c r="B66" s="22">
        <f>IF(B77="Philadelphia Eagles",1,0)</f>
        <v>1</v>
      </c>
      <c r="C66" s="23">
        <f>IF(C77="Kansas City Chiefs",1,0)</f>
        <v>0</v>
      </c>
      <c r="D66" s="23">
        <f>IF(D77="Chicago Bears",1,0)</f>
        <v>0</v>
      </c>
      <c r="E66" s="23">
        <f>IF(E77="Los Angeles Rams",1,0)</f>
        <v>1</v>
      </c>
      <c r="F66" s="23">
        <f>IF(F77="Baltimore Ravens",1,0)</f>
        <v>0</v>
      </c>
      <c r="G66" s="23">
        <f>IF(G77="Denver Broncos",1,0)</f>
        <v>1</v>
      </c>
      <c r="H66" s="23">
        <f>IF(H77="Indianapolis Colts",1,0)</f>
        <v>1</v>
      </c>
      <c r="I66" s="23">
        <f>IF(I77="Pittsburgh Steelers",1,0)</f>
        <v>1</v>
      </c>
      <c r="J66" s="23">
        <f>IF(J77="Houston Texans",1,0)</f>
        <v>0</v>
      </c>
      <c r="K66" s="23">
        <f>IF(K77="Tampa Bay Buccaneers",1,0)</f>
        <v>1</v>
      </c>
      <c r="L66" s="23">
        <f>IF(L77="San Francisco 49ers",1,0)</f>
        <v>1</v>
      </c>
      <c r="M66" s="23">
        <f>IF(M77="Buffalo Bills",1,0)</f>
        <v>0</v>
      </c>
      <c r="N66" s="23">
        <f>IF(N77="New England Patriots",1,0)</f>
        <v>1</v>
      </c>
      <c r="O66" s="23">
        <f>IF(O77="Arizona Cardinals",1,0)</f>
        <v>0</v>
      </c>
      <c r="P66" s="23">
        <f>IF(P77="Detroit Lions",1,0)</f>
        <v>0</v>
      </c>
      <c r="Q66" s="23">
        <f>IF(Q77="Kansas City Chiefs",1,0)</f>
        <v>0</v>
      </c>
      <c r="R66" s="23">
        <f>IF(R77="Baltimore Ravens",1,0)</f>
        <v>0</v>
      </c>
      <c r="S66" s="23">
        <f>IF(S77="Tampa Bay Buccaneers",1,0)</f>
        <v>0</v>
      </c>
      <c r="T66" s="23">
        <f>IF(T77="Los Angeles Rams",1,0)</f>
        <v>0</v>
      </c>
      <c r="U66" s="23">
        <f>IF(U77="Tampa Bay Buccaneers",1,0)</f>
        <v>0</v>
      </c>
      <c r="V66" s="23">
        <f>IF(V77="Washington Commanders",1,0)</f>
        <v>0</v>
      </c>
      <c r="W66" s="23">
        <f>IF(W77="Denver Broncos",1,0)</f>
        <v>1</v>
      </c>
      <c r="X66" s="23">
        <f>IF(X77="Jacksonville Jaguars",1,0)</f>
        <v>1</v>
      </c>
      <c r="Y66" s="24">
        <f>IF(Y77="San Francisco 49ers",1,0)</f>
        <v>0</v>
      </c>
      <c r="Z66" s="125"/>
      <c r="AA66" s="127"/>
      <c r="AB66" s="46"/>
      <c r="AC66" s="119"/>
    </row>
    <row r="67" spans="1:43" ht="12.75" customHeight="1" x14ac:dyDescent="0.25">
      <c r="A67" s="69" t="s">
        <v>18</v>
      </c>
      <c r="B67" s="19" t="s">
        <v>42</v>
      </c>
      <c r="C67" s="20" t="s">
        <v>59</v>
      </c>
      <c r="D67" s="20" t="s">
        <v>60</v>
      </c>
      <c r="E67" s="20" t="s">
        <v>45</v>
      </c>
      <c r="F67" s="20" t="s">
        <v>46</v>
      </c>
      <c r="G67" s="20" t="s">
        <v>47</v>
      </c>
      <c r="H67" s="20" t="s">
        <v>68</v>
      </c>
      <c r="I67" s="20" t="s">
        <v>49</v>
      </c>
      <c r="J67" s="20" t="s">
        <v>50</v>
      </c>
      <c r="K67" s="20" t="s">
        <v>51</v>
      </c>
      <c r="L67" s="20" t="s">
        <v>52</v>
      </c>
      <c r="M67" s="20" t="s">
        <v>53</v>
      </c>
      <c r="N67" s="20" t="s">
        <v>61</v>
      </c>
      <c r="O67" s="20" t="s">
        <v>62</v>
      </c>
      <c r="P67" s="20" t="s">
        <v>67</v>
      </c>
      <c r="Q67" s="20" t="s">
        <v>57</v>
      </c>
      <c r="R67" s="20" t="s">
        <v>46</v>
      </c>
      <c r="S67" s="20" t="s">
        <v>51</v>
      </c>
      <c r="T67" s="21" t="s">
        <v>45</v>
      </c>
      <c r="U67" s="20" t="s">
        <v>51</v>
      </c>
      <c r="V67" s="20" t="s">
        <v>63</v>
      </c>
      <c r="W67" s="20" t="s">
        <v>47</v>
      </c>
      <c r="X67" s="20" t="s">
        <v>55</v>
      </c>
      <c r="Y67" s="20" t="s">
        <v>65</v>
      </c>
      <c r="Z67" s="216">
        <f>SUM(B68:Y68)</f>
        <v>11</v>
      </c>
      <c r="AA67" s="134"/>
      <c r="AB67" s="46"/>
      <c r="AC67" s="119">
        <f>SUM(Z67,AB68)</f>
        <v>11</v>
      </c>
    </row>
    <row r="68" spans="1:43" ht="12.75" customHeight="1" thickBot="1" x14ac:dyDescent="0.3">
      <c r="A68" s="70"/>
      <c r="B68" s="22">
        <f>IF(B77="Philadelphia Eagles",1,0)</f>
        <v>1</v>
      </c>
      <c r="C68" s="23">
        <f>IF(C77="Los Angeles Chargers",1,0)</f>
        <v>1</v>
      </c>
      <c r="D68" s="23">
        <f>IF(D77="Chicago Bears",1,0)</f>
        <v>0</v>
      </c>
      <c r="E68" s="23">
        <f>IF(E77="Los Angeles Rams",1,0)</f>
        <v>1</v>
      </c>
      <c r="F68" s="23">
        <f>IF(F77="Baltimore Ravens",1,0)</f>
        <v>0</v>
      </c>
      <c r="G68" s="23">
        <f>IF(G77="Denver Broncos",1,0)</f>
        <v>1</v>
      </c>
      <c r="H68" s="23">
        <f>IF(H77="Las Vegas Raiders",1,0)</f>
        <v>0</v>
      </c>
      <c r="I68" s="23">
        <f>IF(I77="Pittsburgh Steelers",1,0)</f>
        <v>1</v>
      </c>
      <c r="J68" s="23">
        <f>IF(J77="Houston Texans",1,0)</f>
        <v>0</v>
      </c>
      <c r="K68" s="23">
        <f>IF(K77="Tampa Bay Buccaneers",1,0)</f>
        <v>1</v>
      </c>
      <c r="L68" s="23">
        <f>IF(L77="New York Giants",1,0)</f>
        <v>0</v>
      </c>
      <c r="M68" s="23">
        <f>IF(M77="Buffalo Bills",1,0)</f>
        <v>0</v>
      </c>
      <c r="N68" s="23">
        <f>IF(N77="New England Patriots",1,0)</f>
        <v>1</v>
      </c>
      <c r="O68" s="23">
        <f>IF(O77="Arizona Cardinals",1,0)</f>
        <v>0</v>
      </c>
      <c r="P68" s="23">
        <f>IF(P77="Green Bay Packers",1,0)</f>
        <v>1</v>
      </c>
      <c r="Q68" s="23">
        <f>IF(Q77="Dallas Cowboys",1,0)</f>
        <v>1</v>
      </c>
      <c r="R68" s="23">
        <f>IF(R77="Baltimore Ravens",1,0)</f>
        <v>0</v>
      </c>
      <c r="S68" s="23">
        <f>IF(S77="Tampa Bay Buccaneers",1,0)</f>
        <v>0</v>
      </c>
      <c r="T68" s="23">
        <f>IF(T77="Los Angeles Rams",1,0)</f>
        <v>0</v>
      </c>
      <c r="U68" s="23">
        <f>IF(U77="Tampa Bay Buccaneers",1,0)</f>
        <v>0</v>
      </c>
      <c r="V68" s="23">
        <f>IF(V77="Washington Commanders",1,0)</f>
        <v>0</v>
      </c>
      <c r="W68" s="23">
        <f>IF(W77="Denver Broncos",1,0)</f>
        <v>1</v>
      </c>
      <c r="X68" s="23">
        <f>IF(X77="Jacksonville Jaguars",1,0)</f>
        <v>1</v>
      </c>
      <c r="Y68" s="24">
        <f>IF(Y77="San Francisco 49ers",1,0)</f>
        <v>0</v>
      </c>
      <c r="Z68" s="125"/>
      <c r="AA68" s="127"/>
      <c r="AB68" s="46"/>
      <c r="AC68" s="119"/>
    </row>
    <row r="69" spans="1:43" ht="12.75" customHeight="1" x14ac:dyDescent="0.25">
      <c r="A69" s="214" t="s">
        <v>19</v>
      </c>
      <c r="B69" s="19" t="s">
        <v>42</v>
      </c>
      <c r="C69" s="20" t="s">
        <v>43</v>
      </c>
      <c r="D69" s="20" t="s">
        <v>44</v>
      </c>
      <c r="E69" s="20" t="s">
        <v>45</v>
      </c>
      <c r="F69" s="20" t="s">
        <v>46</v>
      </c>
      <c r="G69" s="20" t="s">
        <v>75</v>
      </c>
      <c r="H69" s="20" t="s">
        <v>48</v>
      </c>
      <c r="I69" s="20" t="s">
        <v>49</v>
      </c>
      <c r="J69" s="20" t="s">
        <v>50</v>
      </c>
      <c r="K69" s="20" t="s">
        <v>51</v>
      </c>
      <c r="L69" s="20" t="s">
        <v>65</v>
      </c>
      <c r="M69" s="20" t="s">
        <v>53</v>
      </c>
      <c r="N69" s="20" t="s">
        <v>54</v>
      </c>
      <c r="O69" s="20" t="s">
        <v>62</v>
      </c>
      <c r="P69" s="20" t="s">
        <v>56</v>
      </c>
      <c r="Q69" s="20" t="s">
        <v>43</v>
      </c>
      <c r="R69" s="20" t="s">
        <v>46</v>
      </c>
      <c r="S69" s="20" t="s">
        <v>51</v>
      </c>
      <c r="T69" s="21" t="s">
        <v>45</v>
      </c>
      <c r="U69" s="20" t="s">
        <v>51</v>
      </c>
      <c r="V69" s="20" t="s">
        <v>63</v>
      </c>
      <c r="W69" s="20" t="s">
        <v>47</v>
      </c>
      <c r="X69" s="20" t="s">
        <v>55</v>
      </c>
      <c r="Y69" s="20" t="s">
        <v>65</v>
      </c>
      <c r="Z69" s="216">
        <f>SUM(B70:Y70)</f>
        <v>9</v>
      </c>
      <c r="AA69" s="134"/>
      <c r="AB69" s="46"/>
      <c r="AC69" s="119">
        <f>SUM(Z69,AB70)</f>
        <v>9</v>
      </c>
    </row>
    <row r="70" spans="1:43" ht="12.75" customHeight="1" thickBot="1" x14ac:dyDescent="0.3">
      <c r="A70" s="215"/>
      <c r="B70" s="22">
        <f>IF(B77="Philadelphia Eagles",1,0)</f>
        <v>1</v>
      </c>
      <c r="C70" s="23">
        <f>IF(C77="Kansas City Chiefs",1,0)</f>
        <v>0</v>
      </c>
      <c r="D70" s="23">
        <f>IF(D77="Minnesota Vikings",1,0)</f>
        <v>1</v>
      </c>
      <c r="E70" s="23">
        <f>IF(E77="Los Angeles Rams",1,0)</f>
        <v>1</v>
      </c>
      <c r="F70" s="23">
        <f>IF(F77="Baltimore Ravens",1,0)</f>
        <v>0</v>
      </c>
      <c r="G70" s="23">
        <f>IF(G77="Cincinnati Bengals",1,0)</f>
        <v>0</v>
      </c>
      <c r="H70" s="23">
        <f>IF(H77="Indianapolis Colts",1,0)</f>
        <v>1</v>
      </c>
      <c r="I70" s="23">
        <f>IF(I77="Pittsburgh Steelers",1,0)</f>
        <v>1</v>
      </c>
      <c r="J70" s="23">
        <f>IF(J77="Houston Texans",1,0)</f>
        <v>0</v>
      </c>
      <c r="K70" s="23">
        <f>IF(K77="Tampa Bay Buccaneers",1,0)</f>
        <v>1</v>
      </c>
      <c r="L70" s="23">
        <f>IF(L77="San Francisco 49ers",1,0)</f>
        <v>1</v>
      </c>
      <c r="M70" s="23">
        <f>IF(M77="Buffalo Bills",1,0)</f>
        <v>0</v>
      </c>
      <c r="N70" s="23">
        <f>IF(N77="New York Jets",1,0)</f>
        <v>0</v>
      </c>
      <c r="O70" s="23">
        <f>IF(O77="Arizona Cardinals",1,0)</f>
        <v>0</v>
      </c>
      <c r="P70" s="23">
        <f>IF(P77="Detroit Lions",1,0)</f>
        <v>0</v>
      </c>
      <c r="Q70" s="23">
        <f>IF(Q77="Kansas City Chiefs",1,0)</f>
        <v>0</v>
      </c>
      <c r="R70" s="23">
        <f>IF(R77="Baltimore Ravens",1,0)</f>
        <v>0</v>
      </c>
      <c r="S70" s="23">
        <f>IF(S77="Tampa Bay Buccaneers",1,0)</f>
        <v>0</v>
      </c>
      <c r="T70" s="23">
        <f>IF(T77="Los Angeles Rams",1,0)</f>
        <v>0</v>
      </c>
      <c r="U70" s="23">
        <f>IF(U77="Tampa Bay Buccaneers",1,0)</f>
        <v>0</v>
      </c>
      <c r="V70" s="23">
        <f>IF(V77="Washington Commanders",1,0)</f>
        <v>0</v>
      </c>
      <c r="W70" s="23">
        <f>IF(W77="Denver Broncos",1,0)</f>
        <v>1</v>
      </c>
      <c r="X70" s="23">
        <f>IF(X77="Jacksonville Jaguars",1,0)</f>
        <v>1</v>
      </c>
      <c r="Y70" s="24">
        <f>IF(Y77="San Francisco 49ers",1,0)</f>
        <v>0</v>
      </c>
      <c r="Z70" s="125"/>
      <c r="AA70" s="127"/>
      <c r="AB70" s="46"/>
      <c r="AC70" s="119"/>
    </row>
    <row r="71" spans="1:43" ht="12.75" customHeight="1" x14ac:dyDescent="0.25">
      <c r="A71" s="214" t="s">
        <v>20</v>
      </c>
      <c r="B71" s="19" t="s">
        <v>42</v>
      </c>
      <c r="C71" s="20" t="s">
        <v>43</v>
      </c>
      <c r="D71" s="20" t="s">
        <v>44</v>
      </c>
      <c r="E71" s="20" t="s">
        <v>45</v>
      </c>
      <c r="F71" s="20" t="s">
        <v>46</v>
      </c>
      <c r="G71" s="20" t="s">
        <v>47</v>
      </c>
      <c r="H71" s="20" t="s">
        <v>68</v>
      </c>
      <c r="I71" s="20" t="s">
        <v>49</v>
      </c>
      <c r="J71" s="20" t="s">
        <v>58</v>
      </c>
      <c r="K71" s="20" t="s">
        <v>51</v>
      </c>
      <c r="L71" s="20" t="s">
        <v>65</v>
      </c>
      <c r="M71" s="20" t="s">
        <v>53</v>
      </c>
      <c r="N71" s="20" t="s">
        <v>61</v>
      </c>
      <c r="O71" s="20" t="s">
        <v>55</v>
      </c>
      <c r="P71" s="20" t="s">
        <v>56</v>
      </c>
      <c r="Q71" s="20" t="s">
        <v>43</v>
      </c>
      <c r="R71" s="20" t="s">
        <v>46</v>
      </c>
      <c r="S71" s="20" t="s">
        <v>51</v>
      </c>
      <c r="T71" s="21" t="s">
        <v>58</v>
      </c>
      <c r="U71" s="20" t="s">
        <v>51</v>
      </c>
      <c r="V71" s="20" t="s">
        <v>57</v>
      </c>
      <c r="W71" s="20" t="s">
        <v>59</v>
      </c>
      <c r="X71" s="20" t="s">
        <v>64</v>
      </c>
      <c r="Y71" s="20" t="s">
        <v>58</v>
      </c>
      <c r="Z71" s="216">
        <f>SUM(B72:Y72)</f>
        <v>13</v>
      </c>
      <c r="AA71" s="134"/>
      <c r="AB71" s="46"/>
      <c r="AC71" s="119">
        <f>SUM(Z71,AB72)</f>
        <v>13</v>
      </c>
    </row>
    <row r="72" spans="1:43" ht="12.75" customHeight="1" thickBot="1" x14ac:dyDescent="0.3">
      <c r="A72" s="215"/>
      <c r="B72" s="22">
        <f>IF(B77="Philadelphia Eagles",1,0)</f>
        <v>1</v>
      </c>
      <c r="C72" s="23">
        <f>IF(C77="Kansas City Chiefs",1,0)</f>
        <v>0</v>
      </c>
      <c r="D72" s="23">
        <f>IF(D77="Minnesota Vikings",1,0)</f>
        <v>1</v>
      </c>
      <c r="E72" s="23">
        <f>IF(E77="Los Angeles Rams",1,0)</f>
        <v>1</v>
      </c>
      <c r="F72" s="23">
        <f>IF(F77="Baltimore Ravens",1,0)</f>
        <v>0</v>
      </c>
      <c r="G72" s="23">
        <f>IF(G77="Denver Broncos",1,0)</f>
        <v>1</v>
      </c>
      <c r="H72" s="23">
        <f>IF(H77="Las Vegas Raiders",1,0)</f>
        <v>0</v>
      </c>
      <c r="I72" s="23">
        <f>IF(I77="Pittsburgh Steelers",1,0)</f>
        <v>1</v>
      </c>
      <c r="J72" s="23">
        <f>IF(J77="Seattle Seahawks",1,0)</f>
        <v>1</v>
      </c>
      <c r="K72" s="23">
        <f>IF(K77="Tampa Bay Buccaneers",1,0)</f>
        <v>1</v>
      </c>
      <c r="L72" s="23">
        <f>IF(L77="San Francisco 49ers",1,0)</f>
        <v>1</v>
      </c>
      <c r="M72" s="23">
        <f>IF(M77="Buffalo Bills",1,0)</f>
        <v>0</v>
      </c>
      <c r="N72" s="23">
        <f>IF(N77="New England Patriots",1,0)</f>
        <v>1</v>
      </c>
      <c r="O72" s="23">
        <f>IF(O77="Jacksonville Jaguars",1,0)</f>
        <v>1</v>
      </c>
      <c r="P72" s="23">
        <f>IF(P77="Detroit Lions",1,0)</f>
        <v>0</v>
      </c>
      <c r="Q72" s="23">
        <f>IF(Q77="Kansas City Chiefs",1,0)</f>
        <v>0</v>
      </c>
      <c r="R72" s="23">
        <f>IF(R77="Baltimore Ravens",1,0)</f>
        <v>0</v>
      </c>
      <c r="S72" s="23">
        <f>IF(S77="Tampa Bay Buccaneers",1,0)</f>
        <v>0</v>
      </c>
      <c r="T72" s="23">
        <f>IF(T77="Seattle Seahawks",1,0)</f>
        <v>1</v>
      </c>
      <c r="U72" s="23">
        <f>IF(U77="Tampa Bay Buccaneers",1,0)</f>
        <v>0</v>
      </c>
      <c r="V72" s="23">
        <f>IF(V77="Dallas Cowboys",1,0)</f>
        <v>1</v>
      </c>
      <c r="W72" s="23">
        <f>IF(W77="Los Angeles Chargers",1,0)</f>
        <v>0</v>
      </c>
      <c r="X72" s="23">
        <f>IF(X77="Tennessee Titans",1,0)</f>
        <v>0</v>
      </c>
      <c r="Y72" s="24">
        <f>IF(Y77="Seattle Seahawks",1,0)</f>
        <v>1</v>
      </c>
      <c r="Z72" s="125"/>
      <c r="AA72" s="127"/>
      <c r="AB72" s="46"/>
      <c r="AC72" s="119"/>
    </row>
    <row r="73" spans="1:43" ht="12.75" customHeight="1" x14ac:dyDescent="0.25">
      <c r="A73" s="247" t="s">
        <v>21</v>
      </c>
      <c r="B73" s="19" t="s">
        <v>42</v>
      </c>
      <c r="C73" s="20" t="s">
        <v>59</v>
      </c>
      <c r="D73" s="20" t="s">
        <v>44</v>
      </c>
      <c r="E73" s="20" t="s">
        <v>45</v>
      </c>
      <c r="F73" s="20" t="s">
        <v>46</v>
      </c>
      <c r="G73" s="20" t="s">
        <v>47</v>
      </c>
      <c r="H73" s="20" t="s">
        <v>68</v>
      </c>
      <c r="I73" s="20" t="s">
        <v>49</v>
      </c>
      <c r="J73" s="20" t="s">
        <v>50</v>
      </c>
      <c r="K73" s="20" t="s">
        <v>51</v>
      </c>
      <c r="L73" s="20" t="s">
        <v>65</v>
      </c>
      <c r="M73" s="20" t="s">
        <v>53</v>
      </c>
      <c r="N73" s="20" t="s">
        <v>61</v>
      </c>
      <c r="O73" s="20" t="s">
        <v>62</v>
      </c>
      <c r="P73" s="20" t="s">
        <v>56</v>
      </c>
      <c r="Q73" s="20" t="s">
        <v>43</v>
      </c>
      <c r="R73" s="20" t="s">
        <v>46</v>
      </c>
      <c r="S73" s="20" t="s">
        <v>51</v>
      </c>
      <c r="T73" s="21" t="s">
        <v>58</v>
      </c>
      <c r="U73" s="20" t="s">
        <v>51</v>
      </c>
      <c r="V73" s="20" t="s">
        <v>57</v>
      </c>
      <c r="W73" s="20" t="s">
        <v>59</v>
      </c>
      <c r="X73" s="20" t="s">
        <v>55</v>
      </c>
      <c r="Y73" s="20" t="s">
        <v>65</v>
      </c>
      <c r="Z73" s="216">
        <f>SUM(B74:Y74)</f>
        <v>12</v>
      </c>
      <c r="AA73" s="134"/>
      <c r="AB73" s="46"/>
      <c r="AC73" s="119">
        <f>SUM(Z73,AB74)</f>
        <v>12</v>
      </c>
    </row>
    <row r="74" spans="1:43" ht="12.75" customHeight="1" thickBot="1" x14ac:dyDescent="0.3">
      <c r="A74" s="227"/>
      <c r="B74" s="22">
        <f>IF(B77="Philadelphia Eagles",1,0)</f>
        <v>1</v>
      </c>
      <c r="C74" s="23">
        <f>IF(C77="Los Angeles Chargers",1,0)</f>
        <v>1</v>
      </c>
      <c r="D74" s="23">
        <f>IF(D77="Minnesota Vikings",1,0)</f>
        <v>1</v>
      </c>
      <c r="E74" s="23">
        <f>IF(E77="Los Angeles Rams",1,0)</f>
        <v>1</v>
      </c>
      <c r="F74" s="23">
        <f>IF(F77="Baltimore Ravens",1,0)</f>
        <v>0</v>
      </c>
      <c r="G74" s="23">
        <f>IF(G77="Denver Broncos",1,0)</f>
        <v>1</v>
      </c>
      <c r="H74" s="23">
        <f>IF(H77="Las Vegas Raiders",1,0)</f>
        <v>0</v>
      </c>
      <c r="I74" s="23">
        <f>IF(I77="Pittsburgh Steelers",1,0)</f>
        <v>1</v>
      </c>
      <c r="J74" s="23">
        <f>IF(J77="Houston Texans",1,0)</f>
        <v>0</v>
      </c>
      <c r="K74" s="23">
        <f>IF(K77="Tampa Bay Buccaneers",1,0)</f>
        <v>1</v>
      </c>
      <c r="L74" s="23">
        <f>IF(L77="San Francisco 49ers",1,0)</f>
        <v>1</v>
      </c>
      <c r="M74" s="23">
        <f>IF(M77="Buffalo Bills",1,0)</f>
        <v>0</v>
      </c>
      <c r="N74" s="23">
        <f>IF(N77="New England Patriots",1,0)</f>
        <v>1</v>
      </c>
      <c r="O74" s="23">
        <f>IF(O77="Arizona Cardinals",1,0)</f>
        <v>0</v>
      </c>
      <c r="P74" s="23">
        <f>IF(P77="Detroit Lions",1,0)</f>
        <v>0</v>
      </c>
      <c r="Q74" s="23">
        <f>IF(Q77="Kansas City Chiefs",1,0)</f>
        <v>0</v>
      </c>
      <c r="R74" s="23">
        <f>IF(R77="Baltimore Ravens",1,0)</f>
        <v>0</v>
      </c>
      <c r="S74" s="23">
        <f>IF(S77="Tampa Bay Buccaneers",1,0)</f>
        <v>0</v>
      </c>
      <c r="T74" s="23">
        <f>IF(T77="Seattle Seahawks",1,0)</f>
        <v>1</v>
      </c>
      <c r="U74" s="23">
        <f>IF(U77="Tampa Bay Buccaneers",1,0)</f>
        <v>0</v>
      </c>
      <c r="V74" s="23">
        <f>IF(V77="Dallas Cowboys",1,0)</f>
        <v>1</v>
      </c>
      <c r="W74" s="23">
        <f>IF(W77="Los Angeles Chargers",1,0)</f>
        <v>0</v>
      </c>
      <c r="X74" s="23">
        <f>IF(X77="Jacksonville Jaguars",1,0)</f>
        <v>1</v>
      </c>
      <c r="Y74" s="23">
        <f>IF(Y77="San Francisco 49ers",1,0)</f>
        <v>0</v>
      </c>
      <c r="Z74" s="125"/>
      <c r="AA74" s="127"/>
      <c r="AB74" s="46"/>
      <c r="AC74" s="119"/>
    </row>
    <row r="75" spans="1:43" ht="12.75" customHeight="1" x14ac:dyDescent="0.25">
      <c r="A75" s="214" t="s">
        <v>22</v>
      </c>
      <c r="B75" s="19" t="s">
        <v>42</v>
      </c>
      <c r="C75" s="20" t="s">
        <v>59</v>
      </c>
      <c r="D75" s="20" t="s">
        <v>44</v>
      </c>
      <c r="E75" s="20" t="s">
        <v>45</v>
      </c>
      <c r="F75" s="20" t="s">
        <v>46</v>
      </c>
      <c r="G75" s="20" t="s">
        <v>75</v>
      </c>
      <c r="H75" s="20" t="s">
        <v>68</v>
      </c>
      <c r="I75" s="20" t="s">
        <v>49</v>
      </c>
      <c r="J75" s="20" t="s">
        <v>50</v>
      </c>
      <c r="K75" s="20" t="s">
        <v>70</v>
      </c>
      <c r="L75" s="20" t="s">
        <v>65</v>
      </c>
      <c r="M75" s="20" t="s">
        <v>53</v>
      </c>
      <c r="N75" s="20" t="s">
        <v>61</v>
      </c>
      <c r="O75" s="20" t="s">
        <v>62</v>
      </c>
      <c r="P75" s="20" t="s">
        <v>56</v>
      </c>
      <c r="Q75" s="20" t="s">
        <v>43</v>
      </c>
      <c r="R75" s="20" t="s">
        <v>46</v>
      </c>
      <c r="S75" s="20" t="s">
        <v>51</v>
      </c>
      <c r="T75" s="21" t="s">
        <v>45</v>
      </c>
      <c r="U75" s="20" t="s">
        <v>51</v>
      </c>
      <c r="V75" s="20" t="s">
        <v>63</v>
      </c>
      <c r="W75" s="20" t="s">
        <v>47</v>
      </c>
      <c r="X75" s="20" t="s">
        <v>55</v>
      </c>
      <c r="Y75" s="20" t="s">
        <v>65</v>
      </c>
      <c r="Z75" s="216">
        <f>SUM(B76:Y76)</f>
        <v>9</v>
      </c>
      <c r="AA75" s="134"/>
      <c r="AB75" s="46"/>
      <c r="AC75" s="119">
        <f>SUM(Z75,AB76)</f>
        <v>9</v>
      </c>
    </row>
    <row r="76" spans="1:43" ht="12.75" customHeight="1" thickBot="1" x14ac:dyDescent="0.3">
      <c r="A76" s="215"/>
      <c r="B76" s="22">
        <f>IF(B77="Philadelphia Eagles",1,0)</f>
        <v>1</v>
      </c>
      <c r="C76" s="23">
        <f>IF(C77="Los Angeles Chargers",1,0)</f>
        <v>1</v>
      </c>
      <c r="D76" s="23">
        <f>IF(D77="Minnesota Vikings",1,0)</f>
        <v>1</v>
      </c>
      <c r="E76" s="23">
        <f>IF(E77="Los Angeles Rams",1,0)</f>
        <v>1</v>
      </c>
      <c r="F76" s="23">
        <f>IF(F77="Baltimore Ravens",1,0)</f>
        <v>0</v>
      </c>
      <c r="G76" s="23">
        <f>IF(G77="Cincinnati Bengals",1,0)</f>
        <v>0</v>
      </c>
      <c r="H76" s="23">
        <f>IF(H77="Las Vegas Raiders",1,0)</f>
        <v>0</v>
      </c>
      <c r="I76" s="23">
        <f>IF(I77="Pittsburgh Steelers",1,0)</f>
        <v>1</v>
      </c>
      <c r="J76" s="23">
        <f>IF(J77="Houston Texans",1,0)</f>
        <v>0</v>
      </c>
      <c r="K76" s="23">
        <f>IF(K77="New Orleans Saints",1,0)</f>
        <v>0</v>
      </c>
      <c r="L76" s="23">
        <f>IF(L77="San Francisco 49ers",1,0)</f>
        <v>1</v>
      </c>
      <c r="M76" s="23">
        <f>IF(M77="Buffalo Bills",1,0)</f>
        <v>0</v>
      </c>
      <c r="N76" s="23">
        <f>IF(N77="New England Patriots",1,0)</f>
        <v>1</v>
      </c>
      <c r="O76" s="23">
        <f>IF(O77="Arizona Cardinals",1,0)</f>
        <v>0</v>
      </c>
      <c r="P76" s="23">
        <f>IF(P77="Detroit Lions",1,0)</f>
        <v>0</v>
      </c>
      <c r="Q76" s="23">
        <f>IF(Q77="Kansas City Chiefs",1,0)</f>
        <v>0</v>
      </c>
      <c r="R76" s="23">
        <f>IF(R77="Baltimore Ravens",1,0)</f>
        <v>0</v>
      </c>
      <c r="S76" s="23">
        <f>IF(S77="Tampa Bay Buccaneers",1,0)</f>
        <v>0</v>
      </c>
      <c r="T76" s="23">
        <f>IF(T77="Los Angeles Rams",1,0)</f>
        <v>0</v>
      </c>
      <c r="U76" s="23">
        <f>IF(U77="Tampa Bay Buccaneers",1,0)</f>
        <v>0</v>
      </c>
      <c r="V76" s="23">
        <f>IF(V77="Washington Commanders",1,0)</f>
        <v>0</v>
      </c>
      <c r="W76" s="23">
        <f>IF(W77="Denver Broncos",1,0)</f>
        <v>1</v>
      </c>
      <c r="X76" s="23">
        <f>IF(X77="Jacksonville Jaguars",1,0)</f>
        <v>1</v>
      </c>
      <c r="Y76" s="24">
        <f>IF(Y77="San Francisco 49ers",1,0)</f>
        <v>0</v>
      </c>
      <c r="Z76" s="125"/>
      <c r="AA76" s="127"/>
      <c r="AB76" s="46"/>
      <c r="AC76" s="119"/>
    </row>
    <row r="77" spans="1:43" ht="12.75" customHeight="1" thickBot="1" x14ac:dyDescent="0.3">
      <c r="A77" s="26" t="s">
        <v>76</v>
      </c>
      <c r="B77" s="75" t="s">
        <v>77</v>
      </c>
      <c r="C77" s="75" t="s">
        <v>78</v>
      </c>
      <c r="D77" s="75" t="s">
        <v>79</v>
      </c>
      <c r="E77" s="75" t="s">
        <v>80</v>
      </c>
      <c r="F77" s="75" t="s">
        <v>111</v>
      </c>
      <c r="G77" s="75" t="s">
        <v>110</v>
      </c>
      <c r="H77" s="75" t="s">
        <v>114</v>
      </c>
      <c r="I77" s="75" t="s">
        <v>123</v>
      </c>
      <c r="J77" s="75" t="s">
        <v>125</v>
      </c>
      <c r="K77" s="75" t="s">
        <v>126</v>
      </c>
      <c r="L77" s="75" t="s">
        <v>124</v>
      </c>
      <c r="M77" s="75" t="s">
        <v>118</v>
      </c>
      <c r="N77" s="75" t="s">
        <v>119</v>
      </c>
      <c r="O77" s="75" t="s">
        <v>115</v>
      </c>
      <c r="P77" s="75" t="s">
        <v>112</v>
      </c>
      <c r="Q77" s="75" t="s">
        <v>109</v>
      </c>
      <c r="R77" s="75" t="s">
        <v>123</v>
      </c>
      <c r="S77" s="75" t="s">
        <v>102</v>
      </c>
      <c r="T77" s="75" t="s">
        <v>125</v>
      </c>
      <c r="U77" s="75" t="s">
        <v>105</v>
      </c>
      <c r="V77" s="75" t="s">
        <v>109</v>
      </c>
      <c r="W77" s="75" t="s">
        <v>110</v>
      </c>
      <c r="X77" s="75" t="s">
        <v>115</v>
      </c>
      <c r="Y77" s="75" t="s">
        <v>125</v>
      </c>
      <c r="Z77" s="27"/>
      <c r="AA77" s="28"/>
      <c r="AB77" s="30"/>
      <c r="AC77" s="30"/>
    </row>
    <row r="78" spans="1:43" ht="11.25" customHeight="1" x14ac:dyDescent="0.25">
      <c r="A78" s="29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53"/>
      <c r="AQ78" s="53"/>
    </row>
    <row r="79" spans="1:43" ht="11.25" customHeight="1" x14ac:dyDescent="0.25">
      <c r="A79" s="29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53"/>
      <c r="AQ79" s="53"/>
    </row>
    <row r="80" spans="1:43" ht="11.25" customHeight="1" x14ac:dyDescent="0.25">
      <c r="A80" s="29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53"/>
      <c r="AQ80" s="53"/>
    </row>
    <row r="81" spans="1:52" ht="9" customHeight="1" thickBot="1" x14ac:dyDescent="0.3">
      <c r="A81" s="29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53"/>
      <c r="AQ81" s="53"/>
    </row>
    <row r="82" spans="1:52" ht="15" customHeight="1" thickTop="1" thickBot="1" x14ac:dyDescent="0.3">
      <c r="A82" s="217" t="s">
        <v>81</v>
      </c>
      <c r="B82" s="220" t="s">
        <v>82</v>
      </c>
      <c r="C82" s="221"/>
      <c r="D82" s="221"/>
      <c r="E82" s="221"/>
      <c r="F82" s="221"/>
      <c r="G82" s="221"/>
      <c r="H82" s="221"/>
      <c r="I82" s="221"/>
      <c r="J82" s="222"/>
      <c r="K82" s="31"/>
      <c r="L82" s="220" t="s">
        <v>83</v>
      </c>
      <c r="M82" s="221"/>
      <c r="N82" s="221"/>
      <c r="O82" s="221"/>
      <c r="P82" s="221"/>
      <c r="Q82" s="221"/>
      <c r="R82" s="222"/>
      <c r="S82" s="71"/>
      <c r="T82" s="32" t="s">
        <v>84</v>
      </c>
      <c r="U82" s="33"/>
      <c r="V82" s="33"/>
      <c r="W82" s="34"/>
      <c r="X82" s="146" t="s">
        <v>85</v>
      </c>
      <c r="Y82" s="223"/>
      <c r="Z82" s="147"/>
      <c r="AA82" s="71"/>
      <c r="AB82" s="71"/>
      <c r="AC82" s="71"/>
      <c r="AD82" s="71"/>
      <c r="AE82" s="146" t="s">
        <v>86</v>
      </c>
      <c r="AF82" s="147"/>
      <c r="AG82" s="146" t="s">
        <v>87</v>
      </c>
      <c r="AH82" s="152"/>
      <c r="AI82" s="155" t="s">
        <v>88</v>
      </c>
      <c r="AJ82" s="156"/>
      <c r="AK82" s="157"/>
      <c r="AL82" s="164" t="s">
        <v>89</v>
      </c>
      <c r="AM82" s="165"/>
      <c r="AN82" s="165"/>
      <c r="AO82" s="165"/>
      <c r="AP82" s="165"/>
      <c r="AQ82" s="165"/>
    </row>
    <row r="83" spans="1:52" ht="15" customHeight="1" x14ac:dyDescent="0.25">
      <c r="A83" s="218"/>
      <c r="B83" s="200" t="s">
        <v>90</v>
      </c>
      <c r="C83" s="201"/>
      <c r="D83" s="201"/>
      <c r="E83" s="201"/>
      <c r="F83" s="35"/>
      <c r="G83" s="202" t="s">
        <v>91</v>
      </c>
      <c r="H83" s="201"/>
      <c r="I83" s="201"/>
      <c r="J83" s="203"/>
      <c r="K83" s="36"/>
      <c r="L83" s="204" t="s">
        <v>90</v>
      </c>
      <c r="M83" s="205"/>
      <c r="N83" s="205"/>
      <c r="O83" s="35"/>
      <c r="P83" s="208" t="s">
        <v>91</v>
      </c>
      <c r="Q83" s="205"/>
      <c r="R83" s="209"/>
      <c r="S83" s="31"/>
      <c r="T83" s="204" t="s">
        <v>90</v>
      </c>
      <c r="U83" s="212"/>
      <c r="V83" s="208" t="s">
        <v>91</v>
      </c>
      <c r="W83" s="209"/>
      <c r="X83" s="148"/>
      <c r="Y83" s="224"/>
      <c r="Z83" s="149"/>
      <c r="AA83" s="71"/>
      <c r="AB83" s="71"/>
      <c r="AC83" s="71"/>
      <c r="AD83" s="71"/>
      <c r="AE83" s="148"/>
      <c r="AF83" s="149"/>
      <c r="AG83" s="148"/>
      <c r="AH83" s="153"/>
      <c r="AI83" s="158"/>
      <c r="AJ83" s="159"/>
      <c r="AK83" s="160"/>
      <c r="AL83" s="164"/>
      <c r="AM83" s="165"/>
      <c r="AN83" s="165"/>
      <c r="AO83" s="165"/>
      <c r="AP83" s="165"/>
      <c r="AQ83" s="165"/>
      <c r="AR83" s="145" t="s">
        <v>92</v>
      </c>
      <c r="AS83" s="145"/>
      <c r="AT83" s="145"/>
      <c r="AU83" s="145"/>
      <c r="AV83" s="145"/>
      <c r="AW83" s="145"/>
      <c r="AX83" s="145"/>
      <c r="AY83" s="145"/>
      <c r="AZ83" s="145"/>
    </row>
    <row r="84" spans="1:52" ht="15" customHeight="1" thickBot="1" x14ac:dyDescent="0.3">
      <c r="A84" s="219"/>
      <c r="B84" s="37" t="s">
        <v>93</v>
      </c>
      <c r="C84" s="38" t="s">
        <v>94</v>
      </c>
      <c r="D84" s="39" t="s">
        <v>95</v>
      </c>
      <c r="E84" s="39" t="s">
        <v>96</v>
      </c>
      <c r="F84" s="40"/>
      <c r="G84" s="39" t="s">
        <v>93</v>
      </c>
      <c r="H84" s="39" t="s">
        <v>94</v>
      </c>
      <c r="I84" s="39" t="s">
        <v>95</v>
      </c>
      <c r="J84" s="39" t="s">
        <v>96</v>
      </c>
      <c r="K84" s="36"/>
      <c r="L84" s="206"/>
      <c r="M84" s="207"/>
      <c r="N84" s="207"/>
      <c r="O84" s="41"/>
      <c r="P84" s="210"/>
      <c r="Q84" s="207"/>
      <c r="R84" s="211"/>
      <c r="S84" s="36"/>
      <c r="T84" s="206"/>
      <c r="U84" s="213"/>
      <c r="V84" s="210"/>
      <c r="W84" s="211"/>
      <c r="X84" s="150"/>
      <c r="Y84" s="225"/>
      <c r="Z84" s="151"/>
      <c r="AA84" s="42"/>
      <c r="AB84" s="52" t="s">
        <v>133</v>
      </c>
      <c r="AC84" s="52" t="s">
        <v>135</v>
      </c>
      <c r="AD84" s="43"/>
      <c r="AE84" s="150"/>
      <c r="AF84" s="151"/>
      <c r="AG84" s="150"/>
      <c r="AH84" s="154"/>
      <c r="AI84" s="161"/>
      <c r="AJ84" s="162"/>
      <c r="AK84" s="163"/>
      <c r="AL84" s="164"/>
      <c r="AM84" s="165"/>
      <c r="AN84" s="165"/>
      <c r="AO84" s="165"/>
      <c r="AP84" s="165"/>
      <c r="AQ84" s="165"/>
    </row>
    <row r="85" spans="1:52" ht="15" customHeight="1" x14ac:dyDescent="0.25">
      <c r="A85" s="115" t="s">
        <v>13</v>
      </c>
      <c r="B85" s="89" t="s">
        <v>53</v>
      </c>
      <c r="C85" s="90" t="s">
        <v>46</v>
      </c>
      <c r="D85" s="90" t="s">
        <v>64</v>
      </c>
      <c r="E85" s="90" t="s">
        <v>68</v>
      </c>
      <c r="F85" s="91"/>
      <c r="G85" s="90" t="s">
        <v>42</v>
      </c>
      <c r="H85" s="90" t="s">
        <v>56</v>
      </c>
      <c r="I85" s="90" t="s">
        <v>51</v>
      </c>
      <c r="J85" s="92" t="s">
        <v>65</v>
      </c>
      <c r="K85" s="108"/>
      <c r="L85" s="89" t="s">
        <v>47</v>
      </c>
      <c r="M85" s="90" t="s">
        <v>75</v>
      </c>
      <c r="N85" s="90" t="s">
        <v>59</v>
      </c>
      <c r="O85" s="91"/>
      <c r="P85" s="90" t="s">
        <v>56</v>
      </c>
      <c r="Q85" s="90" t="s">
        <v>45</v>
      </c>
      <c r="R85" s="92" t="s">
        <v>57</v>
      </c>
      <c r="S85" s="108"/>
      <c r="T85" s="242" t="s">
        <v>43</v>
      </c>
      <c r="U85" s="243"/>
      <c r="V85" s="244" t="s">
        <v>42</v>
      </c>
      <c r="W85" s="245"/>
      <c r="X85" s="242" t="s">
        <v>43</v>
      </c>
      <c r="Y85" s="246"/>
      <c r="Z85" s="245"/>
      <c r="AA85" s="94"/>
      <c r="AB85" s="87"/>
      <c r="AC85" s="87"/>
      <c r="AD85" s="116"/>
      <c r="AE85" s="171">
        <f>SUM(B86,C86,D86,E86,G86,H86,I86,J86,L86,M86,N86,P86,Q86,R86,T86,V86,X86)</f>
        <v>8</v>
      </c>
      <c r="AF85" s="192"/>
      <c r="AG85" s="171">
        <f>Z57</f>
        <v>8</v>
      </c>
      <c r="AH85" s="172"/>
      <c r="AI85" s="135">
        <f>SUM(AE85,AG85)</f>
        <v>16</v>
      </c>
      <c r="AJ85" s="136"/>
      <c r="AK85" s="137"/>
      <c r="AL85" s="87"/>
      <c r="AM85" s="141">
        <f>SUM(AC86,AI85)</f>
        <v>16</v>
      </c>
      <c r="AN85" s="141"/>
      <c r="AO85" s="141"/>
      <c r="AP85" s="141"/>
      <c r="AQ85" s="87"/>
      <c r="AR85" s="120" t="s">
        <v>176</v>
      </c>
      <c r="AS85" s="120"/>
      <c r="AT85" s="120"/>
      <c r="AU85" s="120"/>
      <c r="AV85" s="120"/>
      <c r="AW85" s="120"/>
      <c r="AX85" s="120"/>
      <c r="AY85" s="120"/>
      <c r="AZ85" s="120"/>
    </row>
    <row r="86" spans="1:52" ht="15" customHeight="1" thickBot="1" x14ac:dyDescent="0.3">
      <c r="A86" s="110"/>
      <c r="B86" s="89" t="s">
        <v>129</v>
      </c>
      <c r="C86" s="90" t="s">
        <v>129</v>
      </c>
      <c r="D86" s="90" t="s">
        <v>129</v>
      </c>
      <c r="E86" s="90" t="s">
        <v>129</v>
      </c>
      <c r="F86" s="113"/>
      <c r="G86" s="90">
        <v>2</v>
      </c>
      <c r="H86" s="90" t="s">
        <v>129</v>
      </c>
      <c r="I86" s="90" t="s">
        <v>129</v>
      </c>
      <c r="J86" s="92" t="s">
        <v>129</v>
      </c>
      <c r="K86" s="97">
        <v>0</v>
      </c>
      <c r="L86" s="89" t="s">
        <v>129</v>
      </c>
      <c r="M86" s="90" t="s">
        <v>129</v>
      </c>
      <c r="N86" s="90">
        <v>3</v>
      </c>
      <c r="O86" s="98">
        <v>0</v>
      </c>
      <c r="P86" s="90" t="s">
        <v>129</v>
      </c>
      <c r="Q86" s="90">
        <v>3</v>
      </c>
      <c r="R86" s="92" t="s">
        <v>129</v>
      </c>
      <c r="S86" s="97">
        <v>0</v>
      </c>
      <c r="T86" s="182" t="s">
        <v>129</v>
      </c>
      <c r="U86" s="183"/>
      <c r="V86" s="184" t="s">
        <v>129</v>
      </c>
      <c r="W86" s="185"/>
      <c r="X86" s="182" t="s">
        <v>129</v>
      </c>
      <c r="Y86" s="186"/>
      <c r="Z86" s="185"/>
      <c r="AA86" s="99">
        <v>0</v>
      </c>
      <c r="AB86" s="87">
        <f>SUM(K86,O86,S86,AA86)</f>
        <v>0</v>
      </c>
      <c r="AC86" s="87">
        <f>SUM(AB58,AB86)</f>
        <v>0</v>
      </c>
      <c r="AD86" s="108"/>
      <c r="AE86" s="173"/>
      <c r="AF86" s="193"/>
      <c r="AG86" s="173"/>
      <c r="AH86" s="140"/>
      <c r="AI86" s="138"/>
      <c r="AJ86" s="139"/>
      <c r="AK86" s="140"/>
      <c r="AL86" s="87"/>
      <c r="AM86" s="141"/>
      <c r="AN86" s="141"/>
      <c r="AO86" s="141"/>
      <c r="AP86" s="141"/>
      <c r="AQ86" s="87"/>
      <c r="AR86" s="120"/>
      <c r="AS86" s="120"/>
      <c r="AT86" s="120"/>
      <c r="AU86" s="120"/>
      <c r="AV86" s="120"/>
      <c r="AW86" s="120"/>
      <c r="AX86" s="120"/>
      <c r="AY86" s="120"/>
      <c r="AZ86" s="120"/>
    </row>
    <row r="87" spans="1:52" ht="15" customHeight="1" x14ac:dyDescent="0.25">
      <c r="A87" s="115" t="s">
        <v>14</v>
      </c>
      <c r="B87" s="112" t="s">
        <v>71</v>
      </c>
      <c r="C87" s="113" t="s">
        <v>46</v>
      </c>
      <c r="D87" s="113" t="s">
        <v>50</v>
      </c>
      <c r="E87" s="113" t="s">
        <v>43</v>
      </c>
      <c r="F87" s="91"/>
      <c r="G87" s="113" t="s">
        <v>42</v>
      </c>
      <c r="H87" s="113" t="s">
        <v>67</v>
      </c>
      <c r="I87" s="113" t="s">
        <v>51</v>
      </c>
      <c r="J87" s="114" t="s">
        <v>65</v>
      </c>
      <c r="K87" s="93"/>
      <c r="L87" s="112" t="s">
        <v>53</v>
      </c>
      <c r="M87" s="113" t="s">
        <v>59</v>
      </c>
      <c r="N87" s="113" t="s">
        <v>49</v>
      </c>
      <c r="O87" s="91"/>
      <c r="P87" s="113" t="s">
        <v>56</v>
      </c>
      <c r="Q87" s="113" t="s">
        <v>45</v>
      </c>
      <c r="R87" s="114" t="s">
        <v>58</v>
      </c>
      <c r="S87" s="93"/>
      <c r="T87" s="187" t="s">
        <v>43</v>
      </c>
      <c r="U87" s="188"/>
      <c r="V87" s="189" t="s">
        <v>65</v>
      </c>
      <c r="W87" s="190"/>
      <c r="X87" s="187" t="s">
        <v>65</v>
      </c>
      <c r="Y87" s="191"/>
      <c r="Z87" s="190"/>
      <c r="AA87" s="108"/>
      <c r="AB87" s="87"/>
      <c r="AC87" s="87"/>
      <c r="AD87" s="108"/>
      <c r="AE87" s="194">
        <f>SUM(B88,C88,D88,E88,G88,H88,I88,J88,L88,M88,N88,P88,Q88,R88,T88,V88,X88)</f>
        <v>11</v>
      </c>
      <c r="AF87" s="195"/>
      <c r="AG87" s="171">
        <f>Z59</f>
        <v>10</v>
      </c>
      <c r="AH87" s="172"/>
      <c r="AI87" s="135">
        <f t="shared" ref="AI87" si="37">SUM(AE87,AG87)</f>
        <v>21</v>
      </c>
      <c r="AJ87" s="136"/>
      <c r="AK87" s="137"/>
      <c r="AL87" s="87"/>
      <c r="AM87" s="141">
        <f>SUM(AC88,AI87)</f>
        <v>21</v>
      </c>
      <c r="AN87" s="141"/>
      <c r="AO87" s="141"/>
      <c r="AP87" s="141"/>
      <c r="AQ87" s="87"/>
      <c r="AR87" s="199"/>
      <c r="AS87" s="199"/>
      <c r="AT87" s="199"/>
      <c r="AU87" s="199"/>
      <c r="AV87" s="199"/>
      <c r="AW87" s="199"/>
      <c r="AX87" s="199"/>
      <c r="AY87" s="199"/>
      <c r="AZ87" s="199"/>
    </row>
    <row r="88" spans="1:52" ht="15" customHeight="1" thickBot="1" x14ac:dyDescent="0.3">
      <c r="A88" s="110"/>
      <c r="B88" s="89" t="s">
        <v>129</v>
      </c>
      <c r="C88" s="90" t="s">
        <v>129</v>
      </c>
      <c r="D88" s="90" t="s">
        <v>129</v>
      </c>
      <c r="E88" s="90" t="s">
        <v>129</v>
      </c>
      <c r="F88" s="91"/>
      <c r="G88" s="90">
        <v>2</v>
      </c>
      <c r="H88" s="90" t="s">
        <v>129</v>
      </c>
      <c r="I88" s="90" t="s">
        <v>129</v>
      </c>
      <c r="J88" s="92" t="s">
        <v>129</v>
      </c>
      <c r="K88" s="97">
        <v>0</v>
      </c>
      <c r="L88" s="89">
        <v>3</v>
      </c>
      <c r="M88" s="90">
        <v>3</v>
      </c>
      <c r="N88" s="90" t="s">
        <v>129</v>
      </c>
      <c r="O88" s="98">
        <v>0</v>
      </c>
      <c r="P88" s="90" t="s">
        <v>129</v>
      </c>
      <c r="Q88" s="90">
        <v>3</v>
      </c>
      <c r="R88" s="92" t="s">
        <v>129</v>
      </c>
      <c r="S88" s="97">
        <v>0</v>
      </c>
      <c r="T88" s="182" t="s">
        <v>129</v>
      </c>
      <c r="U88" s="183"/>
      <c r="V88" s="184" t="s">
        <v>129</v>
      </c>
      <c r="W88" s="185"/>
      <c r="X88" s="182" t="s">
        <v>129</v>
      </c>
      <c r="Y88" s="186"/>
      <c r="Z88" s="185"/>
      <c r="AA88" s="99">
        <v>0</v>
      </c>
      <c r="AB88" s="87">
        <f>SUM(K88,O88,S88,AA88)</f>
        <v>0</v>
      </c>
      <c r="AC88" s="87">
        <f>SUM(AB60,AB88)</f>
        <v>0</v>
      </c>
      <c r="AD88" s="108"/>
      <c r="AE88" s="173"/>
      <c r="AF88" s="193"/>
      <c r="AG88" s="173"/>
      <c r="AH88" s="140"/>
      <c r="AI88" s="138"/>
      <c r="AJ88" s="139"/>
      <c r="AK88" s="140"/>
      <c r="AL88" s="87"/>
      <c r="AM88" s="141"/>
      <c r="AN88" s="141"/>
      <c r="AO88" s="141"/>
      <c r="AP88" s="141"/>
      <c r="AQ88" s="87"/>
      <c r="AR88" s="199"/>
      <c r="AS88" s="199"/>
      <c r="AT88" s="199"/>
      <c r="AU88" s="199"/>
      <c r="AV88" s="199"/>
      <c r="AW88" s="199"/>
      <c r="AX88" s="199"/>
      <c r="AY88" s="199"/>
      <c r="AZ88" s="199"/>
    </row>
    <row r="89" spans="1:52" ht="15" customHeight="1" x14ac:dyDescent="0.25">
      <c r="A89" s="109" t="s">
        <v>15</v>
      </c>
      <c r="B89" s="89" t="s">
        <v>53</v>
      </c>
      <c r="C89" s="90" t="s">
        <v>46</v>
      </c>
      <c r="D89" s="90" t="s">
        <v>50</v>
      </c>
      <c r="E89" s="90" t="s">
        <v>43</v>
      </c>
      <c r="F89" s="91"/>
      <c r="G89" s="90" t="s">
        <v>42</v>
      </c>
      <c r="H89" s="90" t="s">
        <v>56</v>
      </c>
      <c r="I89" s="90" t="s">
        <v>51</v>
      </c>
      <c r="J89" s="92" t="s">
        <v>65</v>
      </c>
      <c r="K89" s="93"/>
      <c r="L89" s="89" t="s">
        <v>68</v>
      </c>
      <c r="M89" s="90" t="s">
        <v>59</v>
      </c>
      <c r="N89" s="90" t="s">
        <v>49</v>
      </c>
      <c r="O89" s="91"/>
      <c r="P89" s="90" t="s">
        <v>45</v>
      </c>
      <c r="Q89" s="90" t="s">
        <v>67</v>
      </c>
      <c r="R89" s="92" t="s">
        <v>44</v>
      </c>
      <c r="S89" s="93"/>
      <c r="T89" s="187" t="s">
        <v>53</v>
      </c>
      <c r="U89" s="188"/>
      <c r="V89" s="189" t="s">
        <v>42</v>
      </c>
      <c r="W89" s="190"/>
      <c r="X89" s="187" t="s">
        <v>53</v>
      </c>
      <c r="Y89" s="191"/>
      <c r="Z89" s="190"/>
      <c r="AA89" s="94"/>
      <c r="AB89" s="87"/>
      <c r="AC89" s="87"/>
      <c r="AD89" s="95"/>
      <c r="AE89" s="171">
        <f t="shared" ref="AE89" si="38">SUM(B90,C90,D90,E90,G90,H90,I90,J90,L90,M90,N90,P90,Q90,R90,T90,V90,X90)</f>
        <v>11</v>
      </c>
      <c r="AF89" s="192"/>
      <c r="AG89" s="171">
        <f>Z61</f>
        <v>7</v>
      </c>
      <c r="AH89" s="172"/>
      <c r="AI89" s="135">
        <f t="shared" ref="AI89" si="39">SUM(AE89,AG89)</f>
        <v>18</v>
      </c>
      <c r="AJ89" s="136"/>
      <c r="AK89" s="137"/>
      <c r="AL89" s="87"/>
      <c r="AM89" s="141">
        <f t="shared" ref="AM89" si="40">SUM(AC90,AI89)</f>
        <v>18</v>
      </c>
      <c r="AN89" s="141"/>
      <c r="AO89" s="141"/>
      <c r="AP89" s="141"/>
      <c r="AQ89" s="87"/>
      <c r="AR89" s="120"/>
      <c r="AS89" s="120"/>
      <c r="AT89" s="120"/>
      <c r="AU89" s="120"/>
      <c r="AV89" s="120"/>
      <c r="AW89" s="120"/>
      <c r="AX89" s="120"/>
      <c r="AY89" s="120"/>
      <c r="AZ89" s="120"/>
    </row>
    <row r="90" spans="1:52" ht="15" customHeight="1" thickBot="1" x14ac:dyDescent="0.3">
      <c r="A90" s="110"/>
      <c r="B90" s="89" t="s">
        <v>129</v>
      </c>
      <c r="C90" s="90" t="s">
        <v>129</v>
      </c>
      <c r="D90" s="90" t="s">
        <v>129</v>
      </c>
      <c r="E90" s="90" t="s">
        <v>129</v>
      </c>
      <c r="F90" s="91"/>
      <c r="G90" s="90">
        <v>2</v>
      </c>
      <c r="H90" s="90" t="s">
        <v>129</v>
      </c>
      <c r="I90" s="90" t="s">
        <v>129</v>
      </c>
      <c r="J90" s="92" t="s">
        <v>129</v>
      </c>
      <c r="K90" s="97">
        <v>0</v>
      </c>
      <c r="L90" s="89" t="s">
        <v>129</v>
      </c>
      <c r="M90" s="90">
        <v>3</v>
      </c>
      <c r="N90" s="90" t="s">
        <v>129</v>
      </c>
      <c r="O90" s="98">
        <v>0</v>
      </c>
      <c r="P90" s="90">
        <v>3</v>
      </c>
      <c r="Q90" s="90">
        <v>3</v>
      </c>
      <c r="R90" s="92" t="s">
        <v>129</v>
      </c>
      <c r="S90" s="97">
        <v>0</v>
      </c>
      <c r="T90" s="182" t="s">
        <v>129</v>
      </c>
      <c r="U90" s="183"/>
      <c r="V90" s="184" t="s">
        <v>129</v>
      </c>
      <c r="W90" s="185"/>
      <c r="X90" s="182" t="s">
        <v>129</v>
      </c>
      <c r="Y90" s="186"/>
      <c r="Z90" s="185"/>
      <c r="AA90" s="99">
        <v>0</v>
      </c>
      <c r="AB90" s="87">
        <f t="shared" ref="AB90" si="41">SUM(K90,O90,S90,AA90)</f>
        <v>0</v>
      </c>
      <c r="AC90" s="87">
        <f>SUM(AB62,AB90)</f>
        <v>0</v>
      </c>
      <c r="AD90" s="95"/>
      <c r="AE90" s="173"/>
      <c r="AF90" s="193"/>
      <c r="AG90" s="173"/>
      <c r="AH90" s="140"/>
      <c r="AI90" s="138"/>
      <c r="AJ90" s="139"/>
      <c r="AK90" s="140"/>
      <c r="AL90" s="87"/>
      <c r="AM90" s="141"/>
      <c r="AN90" s="141"/>
      <c r="AO90" s="141"/>
      <c r="AP90" s="141"/>
      <c r="AQ90" s="87"/>
      <c r="AR90" s="120"/>
      <c r="AS90" s="120"/>
      <c r="AT90" s="120"/>
      <c r="AU90" s="120"/>
      <c r="AV90" s="120"/>
      <c r="AW90" s="120"/>
      <c r="AX90" s="120"/>
      <c r="AY90" s="120"/>
      <c r="AZ90" s="120"/>
    </row>
    <row r="91" spans="1:52" ht="15" customHeight="1" x14ac:dyDescent="0.25">
      <c r="A91" s="269" t="s">
        <v>16</v>
      </c>
      <c r="B91" s="270" t="s">
        <v>53</v>
      </c>
      <c r="C91" s="271" t="s">
        <v>75</v>
      </c>
      <c r="D91" s="271" t="s">
        <v>55</v>
      </c>
      <c r="E91" s="271" t="s">
        <v>43</v>
      </c>
      <c r="F91" s="272"/>
      <c r="G91" s="271" t="s">
        <v>42</v>
      </c>
      <c r="H91" s="271" t="s">
        <v>56</v>
      </c>
      <c r="I91" s="271" t="s">
        <v>51</v>
      </c>
      <c r="J91" s="273" t="s">
        <v>58</v>
      </c>
      <c r="K91" s="274"/>
      <c r="L91" s="270" t="s">
        <v>49</v>
      </c>
      <c r="M91" s="271" t="s">
        <v>59</v>
      </c>
      <c r="N91" s="271" t="s">
        <v>46</v>
      </c>
      <c r="O91" s="272"/>
      <c r="P91" s="271" t="s">
        <v>44</v>
      </c>
      <c r="Q91" s="271" t="s">
        <v>63</v>
      </c>
      <c r="R91" s="273" t="s">
        <v>65</v>
      </c>
      <c r="S91" s="274"/>
      <c r="T91" s="275" t="s">
        <v>53</v>
      </c>
      <c r="U91" s="276"/>
      <c r="V91" s="277" t="s">
        <v>56</v>
      </c>
      <c r="W91" s="278"/>
      <c r="X91" s="275" t="s">
        <v>53</v>
      </c>
      <c r="Y91" s="279"/>
      <c r="Z91" s="278"/>
      <c r="AA91" s="280"/>
      <c r="AB91" s="281"/>
      <c r="AC91" s="281"/>
      <c r="AD91" s="282"/>
      <c r="AE91" s="283">
        <f t="shared" ref="AE91" si="42">SUM(B92,C92,D92,E92,G92,H92,I92,J92,L92,M92,N92,P92,Q92,R92,T92,V92,X92)</f>
        <v>12</v>
      </c>
      <c r="AF91" s="284"/>
      <c r="AG91" s="285">
        <f>Z63</f>
        <v>15</v>
      </c>
      <c r="AH91" s="286"/>
      <c r="AI91" s="287">
        <f t="shared" ref="AI91" si="43">SUM(AE91,AG91)</f>
        <v>27</v>
      </c>
      <c r="AJ91" s="288"/>
      <c r="AK91" s="289"/>
      <c r="AL91" s="281"/>
      <c r="AM91" s="290">
        <f t="shared" ref="AM91" si="44">SUM(AC92,AI91)</f>
        <v>27</v>
      </c>
      <c r="AN91" s="290"/>
      <c r="AO91" s="290"/>
      <c r="AP91" s="290"/>
      <c r="AQ91" s="281"/>
      <c r="AR91" s="121" t="s">
        <v>199</v>
      </c>
      <c r="AS91" s="121"/>
      <c r="AT91" s="121"/>
      <c r="AU91" s="121"/>
      <c r="AV91" s="121"/>
      <c r="AW91" s="121"/>
      <c r="AX91" s="121"/>
      <c r="AY91" s="121"/>
      <c r="AZ91" s="121"/>
    </row>
    <row r="92" spans="1:52" ht="15" customHeight="1" thickBot="1" x14ac:dyDescent="0.3">
      <c r="A92" s="291"/>
      <c r="B92" s="270" t="s">
        <v>129</v>
      </c>
      <c r="C92" s="271" t="s">
        <v>129</v>
      </c>
      <c r="D92" s="271">
        <v>2</v>
      </c>
      <c r="E92" s="271" t="s">
        <v>129</v>
      </c>
      <c r="F92" s="272"/>
      <c r="G92" s="271">
        <v>2</v>
      </c>
      <c r="H92" s="271" t="s">
        <v>129</v>
      </c>
      <c r="I92" s="271" t="s">
        <v>129</v>
      </c>
      <c r="J92" s="273">
        <v>2</v>
      </c>
      <c r="K92" s="292">
        <v>0</v>
      </c>
      <c r="L92" s="270" t="s">
        <v>129</v>
      </c>
      <c r="M92" s="271">
        <v>3</v>
      </c>
      <c r="N92" s="271" t="s">
        <v>129</v>
      </c>
      <c r="O92" s="293">
        <v>0</v>
      </c>
      <c r="P92" s="271" t="s">
        <v>129</v>
      </c>
      <c r="Q92" s="271" t="s">
        <v>129</v>
      </c>
      <c r="R92" s="273">
        <v>3</v>
      </c>
      <c r="S92" s="292">
        <v>0</v>
      </c>
      <c r="T92" s="294" t="s">
        <v>129</v>
      </c>
      <c r="U92" s="295"/>
      <c r="V92" s="296" t="s">
        <v>129</v>
      </c>
      <c r="W92" s="297"/>
      <c r="X92" s="294" t="s">
        <v>129</v>
      </c>
      <c r="Y92" s="298"/>
      <c r="Z92" s="297"/>
      <c r="AA92" s="299">
        <v>0</v>
      </c>
      <c r="AB92" s="281">
        <f t="shared" ref="AB92" si="45">SUM(K92,O92,S92,AA92)</f>
        <v>0</v>
      </c>
      <c r="AC92" s="281">
        <f t="shared" ref="AC92" si="46">SUM(AB64,AB92)</f>
        <v>0</v>
      </c>
      <c r="AD92" s="282"/>
      <c r="AE92" s="300"/>
      <c r="AF92" s="301"/>
      <c r="AG92" s="300"/>
      <c r="AH92" s="302"/>
      <c r="AI92" s="303"/>
      <c r="AJ92" s="304"/>
      <c r="AK92" s="302"/>
      <c r="AL92" s="281"/>
      <c r="AM92" s="290"/>
      <c r="AN92" s="290"/>
      <c r="AO92" s="290"/>
      <c r="AP92" s="290"/>
      <c r="AQ92" s="281"/>
      <c r="AR92" s="121"/>
      <c r="AS92" s="121"/>
      <c r="AT92" s="121"/>
      <c r="AU92" s="121"/>
      <c r="AV92" s="121"/>
      <c r="AW92" s="121"/>
      <c r="AX92" s="121"/>
      <c r="AY92" s="121"/>
      <c r="AZ92" s="121"/>
    </row>
    <row r="93" spans="1:52" ht="15" customHeight="1" x14ac:dyDescent="0.25">
      <c r="A93" s="109" t="s">
        <v>98</v>
      </c>
      <c r="B93" s="89" t="s">
        <v>53</v>
      </c>
      <c r="C93" s="90" t="s">
        <v>46</v>
      </c>
      <c r="D93" s="90" t="s">
        <v>50</v>
      </c>
      <c r="E93" s="90" t="s">
        <v>43</v>
      </c>
      <c r="F93" s="91"/>
      <c r="G93" s="90" t="s">
        <v>42</v>
      </c>
      <c r="H93" s="90" t="s">
        <v>56</v>
      </c>
      <c r="I93" s="90" t="s">
        <v>51</v>
      </c>
      <c r="J93" s="92" t="s">
        <v>65</v>
      </c>
      <c r="K93" s="93"/>
      <c r="L93" s="89" t="s">
        <v>49</v>
      </c>
      <c r="M93" s="90" t="s">
        <v>47</v>
      </c>
      <c r="N93" s="90" t="s">
        <v>59</v>
      </c>
      <c r="O93" s="91"/>
      <c r="P93" s="90" t="s">
        <v>63</v>
      </c>
      <c r="Q93" s="90" t="s">
        <v>67</v>
      </c>
      <c r="R93" s="92" t="s">
        <v>45</v>
      </c>
      <c r="S93" s="93"/>
      <c r="T93" s="187" t="s">
        <v>46</v>
      </c>
      <c r="U93" s="188"/>
      <c r="V93" s="189" t="s">
        <v>42</v>
      </c>
      <c r="W93" s="190"/>
      <c r="X93" s="187" t="s">
        <v>46</v>
      </c>
      <c r="Y93" s="191"/>
      <c r="Z93" s="190"/>
      <c r="AA93" s="94"/>
      <c r="AB93" s="87"/>
      <c r="AC93" s="87"/>
      <c r="AD93" s="95"/>
      <c r="AE93" s="171">
        <f t="shared" ref="AE93" si="47">SUM(B94,C94,D94,E94,G94,H94,I94,J94,L94,M94,N94,P94,Q94,R94,T94,V94,X94)</f>
        <v>11</v>
      </c>
      <c r="AF93" s="192"/>
      <c r="AG93" s="171">
        <f>Z65</f>
        <v>10</v>
      </c>
      <c r="AH93" s="172"/>
      <c r="AI93" s="135">
        <f t="shared" ref="AI93" si="48">SUM(AE93,AG93)</f>
        <v>21</v>
      </c>
      <c r="AJ93" s="136"/>
      <c r="AK93" s="137"/>
      <c r="AL93" s="87"/>
      <c r="AM93" s="141">
        <f t="shared" ref="AM93" si="49">SUM(AC94,AI93)</f>
        <v>21</v>
      </c>
      <c r="AN93" s="141"/>
      <c r="AO93" s="141"/>
      <c r="AP93" s="141"/>
      <c r="AQ93" s="87"/>
      <c r="AR93" s="120" t="s">
        <v>173</v>
      </c>
      <c r="AS93" s="120"/>
      <c r="AT93" s="120"/>
      <c r="AU93" s="120"/>
      <c r="AV93" s="120"/>
      <c r="AW93" s="120"/>
      <c r="AX93" s="120"/>
      <c r="AY93" s="120"/>
      <c r="AZ93" s="120"/>
    </row>
    <row r="94" spans="1:52" ht="15" customHeight="1" thickBot="1" x14ac:dyDescent="0.3">
      <c r="A94" s="110"/>
      <c r="B94" s="89" t="s">
        <v>129</v>
      </c>
      <c r="C94" s="90" t="s">
        <v>129</v>
      </c>
      <c r="D94" s="90" t="s">
        <v>129</v>
      </c>
      <c r="E94" s="90" t="s">
        <v>129</v>
      </c>
      <c r="F94" s="91"/>
      <c r="G94" s="90">
        <v>2</v>
      </c>
      <c r="H94" s="90" t="s">
        <v>129</v>
      </c>
      <c r="I94" s="90" t="s">
        <v>129</v>
      </c>
      <c r="J94" s="92" t="s">
        <v>129</v>
      </c>
      <c r="K94" s="97">
        <v>0</v>
      </c>
      <c r="L94" s="89" t="s">
        <v>129</v>
      </c>
      <c r="M94" s="90" t="s">
        <v>129</v>
      </c>
      <c r="N94" s="90">
        <v>3</v>
      </c>
      <c r="O94" s="98">
        <v>0</v>
      </c>
      <c r="P94" s="90" t="s">
        <v>129</v>
      </c>
      <c r="Q94" s="90">
        <v>3</v>
      </c>
      <c r="R94" s="92">
        <v>3</v>
      </c>
      <c r="S94" s="97">
        <v>0</v>
      </c>
      <c r="T94" s="182" t="s">
        <v>129</v>
      </c>
      <c r="U94" s="183"/>
      <c r="V94" s="184" t="s">
        <v>129</v>
      </c>
      <c r="W94" s="185"/>
      <c r="X94" s="182" t="s">
        <v>129</v>
      </c>
      <c r="Y94" s="186"/>
      <c r="Z94" s="185"/>
      <c r="AA94" s="99">
        <v>0</v>
      </c>
      <c r="AB94" s="87">
        <f t="shared" ref="AB94" si="50">SUM(K94,O94,S94,AA94)</f>
        <v>0</v>
      </c>
      <c r="AC94" s="87">
        <f t="shared" ref="AC94" si="51">SUM(AB66,AB94)</f>
        <v>0</v>
      </c>
      <c r="AD94" s="95"/>
      <c r="AE94" s="173"/>
      <c r="AF94" s="193"/>
      <c r="AG94" s="173"/>
      <c r="AH94" s="140"/>
      <c r="AI94" s="138"/>
      <c r="AJ94" s="139"/>
      <c r="AK94" s="140"/>
      <c r="AL94" s="87"/>
      <c r="AM94" s="141"/>
      <c r="AN94" s="141"/>
      <c r="AO94" s="141"/>
      <c r="AP94" s="141"/>
      <c r="AQ94" s="87"/>
      <c r="AR94" s="120"/>
      <c r="AS94" s="120"/>
      <c r="AT94" s="120"/>
      <c r="AU94" s="120"/>
      <c r="AV94" s="120"/>
      <c r="AW94" s="120"/>
      <c r="AX94" s="120"/>
      <c r="AY94" s="120"/>
      <c r="AZ94" s="120"/>
    </row>
    <row r="95" spans="1:52" ht="15" customHeight="1" x14ac:dyDescent="0.25">
      <c r="A95" s="74" t="s">
        <v>18</v>
      </c>
      <c r="B95" s="47" t="s">
        <v>53</v>
      </c>
      <c r="C95" s="48" t="s">
        <v>46</v>
      </c>
      <c r="D95" s="48" t="s">
        <v>50</v>
      </c>
      <c r="E95" s="48" t="s">
        <v>47</v>
      </c>
      <c r="F95" s="44"/>
      <c r="G95" s="48" t="s">
        <v>42</v>
      </c>
      <c r="H95" s="48" t="s">
        <v>67</v>
      </c>
      <c r="I95" s="48" t="s">
        <v>51</v>
      </c>
      <c r="J95" s="49" t="s">
        <v>45</v>
      </c>
      <c r="K95" s="45"/>
      <c r="L95" s="47" t="s">
        <v>75</v>
      </c>
      <c r="M95" s="48" t="s">
        <v>49</v>
      </c>
      <c r="N95" s="48" t="s">
        <v>43</v>
      </c>
      <c r="O95" s="44"/>
      <c r="P95" s="48" t="s">
        <v>63</v>
      </c>
      <c r="Q95" s="48" t="s">
        <v>56</v>
      </c>
      <c r="R95" s="49" t="s">
        <v>65</v>
      </c>
      <c r="S95" s="45"/>
      <c r="T95" s="167" t="s">
        <v>53</v>
      </c>
      <c r="U95" s="168"/>
      <c r="V95" s="239" t="s">
        <v>45</v>
      </c>
      <c r="W95" s="240"/>
      <c r="X95" s="167" t="s">
        <v>53</v>
      </c>
      <c r="Y95" s="170"/>
      <c r="Z95" s="169"/>
      <c r="AA95" s="50"/>
      <c r="AD95" s="72"/>
      <c r="AE95" s="129">
        <f t="shared" ref="AE95" si="52">SUM(B96,C96,D96,E96,G96,H96,I96,J96,L96,M96,N96,P96,Q96,R96,T96,V96,X96)</f>
        <v>7</v>
      </c>
      <c r="AF95" s="130"/>
      <c r="AG95" s="133">
        <f>Z67</f>
        <v>11</v>
      </c>
      <c r="AH95" s="134"/>
      <c r="AI95" s="122">
        <f t="shared" ref="AI95" si="53">SUM(AE95,AG95)</f>
        <v>18</v>
      </c>
      <c r="AJ95" s="123"/>
      <c r="AK95" s="124"/>
      <c r="AL95" s="87"/>
      <c r="AM95" s="141">
        <f t="shared" ref="AM95" si="54">SUM(AC96,AI95)</f>
        <v>21</v>
      </c>
      <c r="AN95" s="141"/>
      <c r="AO95" s="141"/>
      <c r="AP95" s="141"/>
      <c r="AQ95" s="87"/>
      <c r="AR95" s="120" t="s">
        <v>198</v>
      </c>
      <c r="AS95" s="120"/>
      <c r="AT95" s="120"/>
      <c r="AU95" s="120"/>
      <c r="AV95" s="120"/>
      <c r="AW95" s="120"/>
      <c r="AX95" s="120"/>
      <c r="AY95" s="120"/>
      <c r="AZ95" s="120"/>
    </row>
    <row r="96" spans="1:52" ht="15" customHeight="1" thickBot="1" x14ac:dyDescent="0.3">
      <c r="A96" s="73"/>
      <c r="B96" s="47" t="s">
        <v>129</v>
      </c>
      <c r="C96" s="48" t="s">
        <v>129</v>
      </c>
      <c r="D96" s="48" t="s">
        <v>129</v>
      </c>
      <c r="E96" s="48">
        <v>2</v>
      </c>
      <c r="F96" s="44"/>
      <c r="G96" s="48">
        <v>2</v>
      </c>
      <c r="H96" s="48" t="s">
        <v>129</v>
      </c>
      <c r="I96" s="48" t="s">
        <v>129</v>
      </c>
      <c r="J96" s="49" t="s">
        <v>129</v>
      </c>
      <c r="K96" s="80">
        <v>0</v>
      </c>
      <c r="L96" s="47" t="s">
        <v>129</v>
      </c>
      <c r="M96" s="48" t="s">
        <v>129</v>
      </c>
      <c r="N96" s="48" t="s">
        <v>129</v>
      </c>
      <c r="O96" s="81">
        <v>0</v>
      </c>
      <c r="P96" s="48" t="s">
        <v>129</v>
      </c>
      <c r="Q96" s="48" t="s">
        <v>129</v>
      </c>
      <c r="R96" s="49">
        <v>3</v>
      </c>
      <c r="S96" s="80">
        <v>0</v>
      </c>
      <c r="T96" s="176" t="s">
        <v>129</v>
      </c>
      <c r="U96" s="177"/>
      <c r="V96" s="178"/>
      <c r="W96" s="179"/>
      <c r="X96" s="176" t="s">
        <v>129</v>
      </c>
      <c r="Y96" s="180"/>
      <c r="Z96" s="181"/>
      <c r="AA96" s="82">
        <v>3</v>
      </c>
      <c r="AB96">
        <f t="shared" ref="AB96" si="55">SUM(K96,O96,S96,AA96)</f>
        <v>3</v>
      </c>
      <c r="AC96">
        <f t="shared" ref="AC96" si="56">SUM(AB68,AB96)</f>
        <v>3</v>
      </c>
      <c r="AD96" s="72"/>
      <c r="AE96" s="131"/>
      <c r="AF96" s="132"/>
      <c r="AG96" s="131"/>
      <c r="AH96" s="127"/>
      <c r="AI96" s="125"/>
      <c r="AJ96" s="126"/>
      <c r="AK96" s="127"/>
      <c r="AL96" s="87"/>
      <c r="AM96" s="141"/>
      <c r="AN96" s="141"/>
      <c r="AO96" s="141"/>
      <c r="AP96" s="141"/>
      <c r="AQ96" s="87"/>
      <c r="AR96" s="120"/>
      <c r="AS96" s="120"/>
      <c r="AT96" s="120"/>
      <c r="AU96" s="120"/>
      <c r="AV96" s="120"/>
      <c r="AW96" s="120"/>
      <c r="AX96" s="120"/>
      <c r="AY96" s="120"/>
      <c r="AZ96" s="120"/>
    </row>
    <row r="97" spans="1:52" ht="15" customHeight="1" x14ac:dyDescent="0.25">
      <c r="A97" s="174" t="s">
        <v>19</v>
      </c>
      <c r="B97" s="89" t="s">
        <v>53</v>
      </c>
      <c r="C97" s="90" t="s">
        <v>46</v>
      </c>
      <c r="D97" s="90" t="s">
        <v>50</v>
      </c>
      <c r="E97" s="90" t="s">
        <v>43</v>
      </c>
      <c r="F97" s="91"/>
      <c r="G97" s="90" t="s">
        <v>42</v>
      </c>
      <c r="H97" s="90" t="s">
        <v>56</v>
      </c>
      <c r="I97" s="90" t="s">
        <v>51</v>
      </c>
      <c r="J97" s="92" t="s">
        <v>65</v>
      </c>
      <c r="K97" s="93"/>
      <c r="L97" s="89" t="s">
        <v>75</v>
      </c>
      <c r="M97" s="90" t="s">
        <v>55</v>
      </c>
      <c r="N97" s="90" t="s">
        <v>47</v>
      </c>
      <c r="O97" s="91"/>
      <c r="P97" s="90" t="s">
        <v>72</v>
      </c>
      <c r="Q97" s="90" t="s">
        <v>45</v>
      </c>
      <c r="R97" s="92" t="s">
        <v>67</v>
      </c>
      <c r="S97" s="93"/>
      <c r="T97" s="187" t="s">
        <v>43</v>
      </c>
      <c r="U97" s="188"/>
      <c r="V97" s="189" t="s">
        <v>65</v>
      </c>
      <c r="W97" s="190"/>
      <c r="X97" s="187" t="s">
        <v>65</v>
      </c>
      <c r="Y97" s="191"/>
      <c r="Z97" s="190"/>
      <c r="AA97" s="94"/>
      <c r="AB97" s="87"/>
      <c r="AC97" s="87"/>
      <c r="AD97" s="95"/>
      <c r="AE97" s="171">
        <f t="shared" ref="AE97" si="57">SUM(B98,C98,D98,E98,G98,H98,I98,J98,L98,M98,N98,P98,Q98,R98,T98,V98,X98)</f>
        <v>8</v>
      </c>
      <c r="AF97" s="192"/>
      <c r="AG97" s="171">
        <f>Z69</f>
        <v>9</v>
      </c>
      <c r="AH97" s="172"/>
      <c r="AI97" s="135">
        <f t="shared" ref="AI97" si="58">SUM(AE97,AG97)</f>
        <v>17</v>
      </c>
      <c r="AJ97" s="136"/>
      <c r="AK97" s="137"/>
      <c r="AL97" s="87"/>
      <c r="AM97" s="141">
        <f t="shared" ref="AM97" si="59">SUM(AC98,AI97)</f>
        <v>17</v>
      </c>
      <c r="AN97" s="141"/>
      <c r="AO97" s="141"/>
      <c r="AP97" s="141"/>
      <c r="AQ97" s="87"/>
      <c r="AR97" s="120"/>
      <c r="AS97" s="120"/>
      <c r="AT97" s="120"/>
      <c r="AU97" s="120"/>
      <c r="AV97" s="120"/>
      <c r="AW97" s="120"/>
      <c r="AX97" s="120"/>
      <c r="AY97" s="120"/>
      <c r="AZ97" s="120"/>
    </row>
    <row r="98" spans="1:52" ht="15" customHeight="1" thickBot="1" x14ac:dyDescent="0.3">
      <c r="A98" s="175"/>
      <c r="B98" s="89" t="s">
        <v>129</v>
      </c>
      <c r="C98" s="90" t="s">
        <v>129</v>
      </c>
      <c r="D98" s="90" t="s">
        <v>129</v>
      </c>
      <c r="E98" s="90" t="s">
        <v>129</v>
      </c>
      <c r="F98" s="91"/>
      <c r="G98" s="90">
        <v>2</v>
      </c>
      <c r="H98" s="90" t="s">
        <v>129</v>
      </c>
      <c r="I98" s="90" t="s">
        <v>129</v>
      </c>
      <c r="J98" s="92" t="s">
        <v>129</v>
      </c>
      <c r="K98" s="97">
        <v>0</v>
      </c>
      <c r="L98" s="89" t="s">
        <v>129</v>
      </c>
      <c r="M98" s="90" t="s">
        <v>129</v>
      </c>
      <c r="N98" s="90" t="s">
        <v>129</v>
      </c>
      <c r="O98" s="98">
        <v>0</v>
      </c>
      <c r="P98" s="90" t="s">
        <v>129</v>
      </c>
      <c r="Q98" s="90">
        <v>3</v>
      </c>
      <c r="R98" s="92">
        <v>3</v>
      </c>
      <c r="S98" s="97">
        <v>0</v>
      </c>
      <c r="T98" s="182" t="s">
        <v>129</v>
      </c>
      <c r="U98" s="183"/>
      <c r="V98" s="184" t="s">
        <v>129</v>
      </c>
      <c r="W98" s="185"/>
      <c r="X98" s="182" t="s">
        <v>129</v>
      </c>
      <c r="Y98" s="186"/>
      <c r="Z98" s="185"/>
      <c r="AA98" s="99">
        <v>0</v>
      </c>
      <c r="AB98" s="87">
        <f t="shared" ref="AB98" si="60">SUM(K98,O98,S98,AA98)</f>
        <v>0</v>
      </c>
      <c r="AC98" s="87">
        <f t="shared" ref="AC98" si="61">SUM(AB70,AB98)</f>
        <v>0</v>
      </c>
      <c r="AD98" s="95"/>
      <c r="AE98" s="173"/>
      <c r="AF98" s="193"/>
      <c r="AG98" s="173"/>
      <c r="AH98" s="140"/>
      <c r="AI98" s="138"/>
      <c r="AJ98" s="139"/>
      <c r="AK98" s="140"/>
      <c r="AL98" s="87"/>
      <c r="AM98" s="141"/>
      <c r="AN98" s="141"/>
      <c r="AO98" s="141"/>
      <c r="AP98" s="141"/>
      <c r="AQ98" s="87"/>
      <c r="AR98" s="120"/>
      <c r="AS98" s="120"/>
      <c r="AT98" s="120"/>
      <c r="AU98" s="120"/>
      <c r="AV98" s="120"/>
      <c r="AW98" s="120"/>
      <c r="AX98" s="120"/>
      <c r="AY98" s="120"/>
      <c r="AZ98" s="120"/>
    </row>
    <row r="99" spans="1:52" ht="15" customHeight="1" x14ac:dyDescent="0.25">
      <c r="A99" s="174" t="s">
        <v>20</v>
      </c>
      <c r="B99" s="89" t="s">
        <v>53</v>
      </c>
      <c r="C99" s="90" t="s">
        <v>46</v>
      </c>
      <c r="D99" s="90" t="s">
        <v>50</v>
      </c>
      <c r="E99" s="90" t="s">
        <v>43</v>
      </c>
      <c r="F99" s="91"/>
      <c r="G99" s="90" t="s">
        <v>42</v>
      </c>
      <c r="H99" s="90" t="s">
        <v>67</v>
      </c>
      <c r="I99" s="90" t="s">
        <v>51</v>
      </c>
      <c r="J99" s="92" t="s">
        <v>58</v>
      </c>
      <c r="K99" s="93"/>
      <c r="L99" s="89" t="s">
        <v>75</v>
      </c>
      <c r="M99" s="90" t="s">
        <v>59</v>
      </c>
      <c r="N99" s="90" t="s">
        <v>61</v>
      </c>
      <c r="O99" s="91"/>
      <c r="P99" s="90" t="s">
        <v>63</v>
      </c>
      <c r="Q99" s="90" t="s">
        <v>56</v>
      </c>
      <c r="R99" s="92" t="s">
        <v>45</v>
      </c>
      <c r="S99" s="93"/>
      <c r="T99" s="187" t="s">
        <v>53</v>
      </c>
      <c r="U99" s="188"/>
      <c r="V99" s="189" t="s">
        <v>42</v>
      </c>
      <c r="W99" s="190"/>
      <c r="X99" s="187" t="s">
        <v>53</v>
      </c>
      <c r="Y99" s="191"/>
      <c r="Z99" s="190"/>
      <c r="AA99" s="94"/>
      <c r="AB99" s="87"/>
      <c r="AC99" s="87"/>
      <c r="AD99" s="95"/>
      <c r="AE99" s="194">
        <f t="shared" ref="AE99" si="62">SUM(B100,C100,D100,E100,G100,H100,I100,J100,L100,M100,N100,P100,Q100,R100,T100,V100,X100)</f>
        <v>10</v>
      </c>
      <c r="AF99" s="195"/>
      <c r="AG99" s="171">
        <f>Z71</f>
        <v>13</v>
      </c>
      <c r="AH99" s="172"/>
      <c r="AI99" s="135">
        <f>SUM(AE99,AG99)</f>
        <v>23</v>
      </c>
      <c r="AJ99" s="136"/>
      <c r="AK99" s="137"/>
      <c r="AL99" s="87"/>
      <c r="AM99" s="141">
        <f t="shared" ref="AM99" si="63">SUM(AC100,AI99)</f>
        <v>23</v>
      </c>
      <c r="AN99" s="141"/>
      <c r="AO99" s="141"/>
      <c r="AP99" s="141"/>
      <c r="AQ99" s="87"/>
      <c r="AR99" s="120" t="s">
        <v>149</v>
      </c>
      <c r="AS99" s="120"/>
      <c r="AT99" s="120"/>
      <c r="AU99" s="120"/>
      <c r="AV99" s="120"/>
      <c r="AW99" s="120"/>
      <c r="AX99" s="120"/>
      <c r="AY99" s="120"/>
      <c r="AZ99" s="120"/>
    </row>
    <row r="100" spans="1:52" ht="15" customHeight="1" thickBot="1" x14ac:dyDescent="0.3">
      <c r="A100" s="175"/>
      <c r="B100" s="89" t="s">
        <v>129</v>
      </c>
      <c r="C100" s="90" t="s">
        <v>129</v>
      </c>
      <c r="D100" s="90" t="s">
        <v>129</v>
      </c>
      <c r="E100" s="90" t="s">
        <v>129</v>
      </c>
      <c r="F100" s="91"/>
      <c r="G100" s="90">
        <v>2</v>
      </c>
      <c r="H100" s="90" t="s">
        <v>129</v>
      </c>
      <c r="I100" s="90" t="s">
        <v>129</v>
      </c>
      <c r="J100" s="92">
        <v>2</v>
      </c>
      <c r="K100" s="97">
        <v>0</v>
      </c>
      <c r="L100" s="89" t="s">
        <v>129</v>
      </c>
      <c r="M100" s="90">
        <v>3</v>
      </c>
      <c r="N100" s="90" t="s">
        <v>129</v>
      </c>
      <c r="O100" s="98">
        <v>0</v>
      </c>
      <c r="P100" s="90" t="s">
        <v>129</v>
      </c>
      <c r="Q100" s="90" t="s">
        <v>129</v>
      </c>
      <c r="R100" s="92">
        <v>3</v>
      </c>
      <c r="S100" s="97">
        <v>0</v>
      </c>
      <c r="T100" s="182" t="s">
        <v>129</v>
      </c>
      <c r="U100" s="183"/>
      <c r="V100" s="184" t="s">
        <v>129</v>
      </c>
      <c r="W100" s="185"/>
      <c r="X100" s="182" t="s">
        <v>129</v>
      </c>
      <c r="Y100" s="186"/>
      <c r="Z100" s="185"/>
      <c r="AA100" s="99">
        <v>0</v>
      </c>
      <c r="AB100" s="87">
        <f t="shared" ref="AB100" si="64">SUM(K100,O100,S100,AA100)</f>
        <v>0</v>
      </c>
      <c r="AC100" s="87">
        <f t="shared" ref="AC100" si="65">SUM(AB72,AB100)</f>
        <v>0</v>
      </c>
      <c r="AD100" s="95"/>
      <c r="AE100" s="173"/>
      <c r="AF100" s="193"/>
      <c r="AG100" s="173"/>
      <c r="AH100" s="140"/>
      <c r="AI100" s="138"/>
      <c r="AJ100" s="139"/>
      <c r="AK100" s="140"/>
      <c r="AL100" s="87"/>
      <c r="AM100" s="141"/>
      <c r="AN100" s="141"/>
      <c r="AO100" s="141"/>
      <c r="AP100" s="141"/>
      <c r="AQ100" s="87"/>
      <c r="AR100" s="120"/>
      <c r="AS100" s="120"/>
      <c r="AT100" s="120"/>
      <c r="AU100" s="120"/>
      <c r="AV100" s="120"/>
      <c r="AW100" s="120"/>
      <c r="AX100" s="120"/>
      <c r="AY100" s="120"/>
      <c r="AZ100" s="120"/>
    </row>
    <row r="101" spans="1:52" ht="15" customHeight="1" x14ac:dyDescent="0.25">
      <c r="A101" s="254" t="s">
        <v>21</v>
      </c>
      <c r="B101" s="89" t="s">
        <v>53</v>
      </c>
      <c r="C101" s="90" t="s">
        <v>46</v>
      </c>
      <c r="D101" s="90" t="s">
        <v>50</v>
      </c>
      <c r="E101" s="90" t="s">
        <v>43</v>
      </c>
      <c r="F101" s="91"/>
      <c r="G101" s="90" t="s">
        <v>42</v>
      </c>
      <c r="H101" s="90" t="s">
        <v>56</v>
      </c>
      <c r="I101" s="90" t="s">
        <v>51</v>
      </c>
      <c r="J101" s="92" t="s">
        <v>65</v>
      </c>
      <c r="K101" s="108"/>
      <c r="L101" s="89" t="s">
        <v>75</v>
      </c>
      <c r="M101" s="90" t="s">
        <v>59</v>
      </c>
      <c r="N101" s="90" t="s">
        <v>71</v>
      </c>
      <c r="O101" s="91"/>
      <c r="P101" s="90" t="s">
        <v>67</v>
      </c>
      <c r="Q101" s="90" t="s">
        <v>45</v>
      </c>
      <c r="R101" s="92" t="s">
        <v>57</v>
      </c>
      <c r="S101" s="87"/>
      <c r="T101" s="255" t="s">
        <v>46</v>
      </c>
      <c r="U101" s="256"/>
      <c r="V101" s="257" t="s">
        <v>65</v>
      </c>
      <c r="W101" s="257"/>
      <c r="X101" s="187" t="s">
        <v>65</v>
      </c>
      <c r="Y101" s="191"/>
      <c r="Z101" s="190"/>
      <c r="AA101" s="94"/>
      <c r="AB101" s="87"/>
      <c r="AC101" s="87"/>
      <c r="AD101" s="95"/>
      <c r="AE101" s="171">
        <f t="shared" ref="AE101" si="66">SUM(B102,C102,D102,E102,G102,H102,I102,J102,L102,M102,N102,P102,Q102,R102,T102,V102,X102)</f>
        <v>11</v>
      </c>
      <c r="AF101" s="192"/>
      <c r="AG101" s="171">
        <f>Z73</f>
        <v>12</v>
      </c>
      <c r="AH101" s="172"/>
      <c r="AI101" s="135">
        <f>SUM(AE101,AG101)</f>
        <v>23</v>
      </c>
      <c r="AJ101" s="136"/>
      <c r="AK101" s="137"/>
      <c r="AL101" s="87"/>
      <c r="AM101" s="141">
        <f t="shared" ref="AM101" si="67">SUM(AC102,AI101)</f>
        <v>23</v>
      </c>
      <c r="AN101" s="141"/>
      <c r="AO101" s="141"/>
      <c r="AP101" s="141"/>
      <c r="AQ101" s="87"/>
      <c r="AR101" s="120" t="s">
        <v>148</v>
      </c>
      <c r="AS101" s="120"/>
      <c r="AT101" s="120"/>
      <c r="AU101" s="120"/>
      <c r="AV101" s="120"/>
      <c r="AW101" s="120"/>
      <c r="AX101" s="120"/>
      <c r="AY101" s="120"/>
      <c r="AZ101" s="120"/>
    </row>
    <row r="102" spans="1:52" ht="15" customHeight="1" thickBot="1" x14ac:dyDescent="0.3">
      <c r="A102" s="198"/>
      <c r="B102" s="89" t="s">
        <v>129</v>
      </c>
      <c r="C102" s="90" t="s">
        <v>129</v>
      </c>
      <c r="D102" s="90" t="s">
        <v>129</v>
      </c>
      <c r="E102" s="90" t="s">
        <v>129</v>
      </c>
      <c r="F102" s="91"/>
      <c r="G102" s="90">
        <v>2</v>
      </c>
      <c r="H102" s="90" t="s">
        <v>129</v>
      </c>
      <c r="I102" s="90" t="s">
        <v>129</v>
      </c>
      <c r="J102" s="92" t="s">
        <v>129</v>
      </c>
      <c r="K102" s="118">
        <v>0</v>
      </c>
      <c r="L102" s="89" t="s">
        <v>129</v>
      </c>
      <c r="M102" s="90">
        <v>3</v>
      </c>
      <c r="N102" s="90" t="s">
        <v>129</v>
      </c>
      <c r="O102" s="98">
        <v>0</v>
      </c>
      <c r="P102" s="90">
        <v>3</v>
      </c>
      <c r="Q102" s="90">
        <v>3</v>
      </c>
      <c r="R102" s="92" t="s">
        <v>129</v>
      </c>
      <c r="S102" s="118">
        <v>0</v>
      </c>
      <c r="T102" s="182" t="s">
        <v>129</v>
      </c>
      <c r="U102" s="183"/>
      <c r="V102" s="184" t="s">
        <v>129</v>
      </c>
      <c r="W102" s="185"/>
      <c r="X102" s="182" t="s">
        <v>129</v>
      </c>
      <c r="Y102" s="186"/>
      <c r="Z102" s="185"/>
      <c r="AA102" s="99">
        <v>0</v>
      </c>
      <c r="AB102" s="87">
        <f t="shared" ref="AB102" si="68">SUM(K102,O102,S102,AA102)</f>
        <v>0</v>
      </c>
      <c r="AC102" s="87">
        <f t="shared" ref="AC102" si="69">SUM(AB74,AB102)</f>
        <v>0</v>
      </c>
      <c r="AD102" s="95"/>
      <c r="AE102" s="173"/>
      <c r="AF102" s="193"/>
      <c r="AG102" s="173"/>
      <c r="AH102" s="140"/>
      <c r="AI102" s="138"/>
      <c r="AJ102" s="139"/>
      <c r="AK102" s="140"/>
      <c r="AL102" s="87"/>
      <c r="AM102" s="141"/>
      <c r="AN102" s="141"/>
      <c r="AO102" s="141"/>
      <c r="AP102" s="141"/>
      <c r="AQ102" s="87"/>
      <c r="AR102" s="120"/>
      <c r="AS102" s="120"/>
      <c r="AT102" s="120"/>
      <c r="AU102" s="120"/>
      <c r="AV102" s="120"/>
      <c r="AW102" s="120"/>
      <c r="AX102" s="120"/>
      <c r="AY102" s="120"/>
      <c r="AZ102" s="120"/>
    </row>
    <row r="103" spans="1:52" ht="15" customHeight="1" x14ac:dyDescent="0.25">
      <c r="A103" s="268" t="s">
        <v>22</v>
      </c>
      <c r="B103" s="89" t="s">
        <v>53</v>
      </c>
      <c r="C103" s="90" t="s">
        <v>75</v>
      </c>
      <c r="D103" s="90" t="s">
        <v>50</v>
      </c>
      <c r="E103" s="90" t="s">
        <v>68</v>
      </c>
      <c r="F103" s="91"/>
      <c r="G103" s="90" t="s">
        <v>42</v>
      </c>
      <c r="H103" s="90" t="s">
        <v>67</v>
      </c>
      <c r="I103" s="90" t="s">
        <v>51</v>
      </c>
      <c r="J103" s="92" t="s">
        <v>65</v>
      </c>
      <c r="K103" s="108"/>
      <c r="L103" s="89" t="s">
        <v>46</v>
      </c>
      <c r="M103" s="90" t="s">
        <v>68</v>
      </c>
      <c r="N103" s="90" t="s">
        <v>43</v>
      </c>
      <c r="O103" s="91"/>
      <c r="P103" s="90" t="s">
        <v>58</v>
      </c>
      <c r="Q103" s="90" t="s">
        <v>56</v>
      </c>
      <c r="R103" s="92" t="s">
        <v>44</v>
      </c>
      <c r="S103" s="108"/>
      <c r="T103" s="255" t="s">
        <v>53</v>
      </c>
      <c r="U103" s="256"/>
      <c r="V103" s="257" t="s">
        <v>65</v>
      </c>
      <c r="W103" s="257"/>
      <c r="X103" s="187" t="s">
        <v>65</v>
      </c>
      <c r="Y103" s="191"/>
      <c r="Z103" s="190"/>
      <c r="AA103" s="94"/>
      <c r="AB103" s="87"/>
      <c r="AC103" s="87"/>
      <c r="AD103" s="95"/>
      <c r="AE103" s="194">
        <f t="shared" ref="AE103" si="70">SUM(B104,C104,D104,E104,G104,H104,I104,J104,L104,M104,N104,P104,Q104,R104,T104,V104,X104)</f>
        <v>2</v>
      </c>
      <c r="AF103" s="195"/>
      <c r="AG103" s="171">
        <f>Z75</f>
        <v>9</v>
      </c>
      <c r="AH103" s="172"/>
      <c r="AI103" s="135">
        <f>SUM(AE103,AG103)</f>
        <v>11</v>
      </c>
      <c r="AJ103" s="136"/>
      <c r="AK103" s="137"/>
      <c r="AL103" s="87"/>
      <c r="AM103" s="141">
        <f t="shared" ref="AM103" si="71">SUM(AC104,AI103)</f>
        <v>11</v>
      </c>
      <c r="AN103" s="141"/>
      <c r="AO103" s="141"/>
      <c r="AP103" s="141"/>
      <c r="AQ103" s="87"/>
      <c r="AR103" s="257"/>
      <c r="AS103" s="257"/>
      <c r="AT103" s="257"/>
      <c r="AU103" s="257"/>
      <c r="AV103" s="257"/>
      <c r="AW103" s="257"/>
      <c r="AX103" s="257"/>
      <c r="AY103" s="257"/>
      <c r="AZ103" s="257"/>
    </row>
    <row r="104" spans="1:52" ht="15" customHeight="1" x14ac:dyDescent="0.25">
      <c r="A104" s="175"/>
      <c r="B104" s="89" t="s">
        <v>129</v>
      </c>
      <c r="C104" s="90" t="s">
        <v>129</v>
      </c>
      <c r="D104" s="90" t="s">
        <v>129</v>
      </c>
      <c r="E104" s="90" t="s">
        <v>129</v>
      </c>
      <c r="F104" s="113"/>
      <c r="G104" s="90">
        <v>2</v>
      </c>
      <c r="H104" s="90" t="s">
        <v>129</v>
      </c>
      <c r="I104" s="90" t="s">
        <v>129</v>
      </c>
      <c r="J104" s="92" t="s">
        <v>129</v>
      </c>
      <c r="K104" s="97">
        <v>0</v>
      </c>
      <c r="L104" s="89" t="s">
        <v>129</v>
      </c>
      <c r="M104" s="90" t="s">
        <v>129</v>
      </c>
      <c r="N104" s="90" t="s">
        <v>129</v>
      </c>
      <c r="O104" s="98">
        <v>0</v>
      </c>
      <c r="P104" s="90" t="s">
        <v>129</v>
      </c>
      <c r="Q104" s="90" t="s">
        <v>129</v>
      </c>
      <c r="R104" s="92" t="s">
        <v>129</v>
      </c>
      <c r="S104" s="97">
        <v>0</v>
      </c>
      <c r="T104" s="182" t="s">
        <v>129</v>
      </c>
      <c r="U104" s="183"/>
      <c r="V104" s="184" t="s">
        <v>129</v>
      </c>
      <c r="W104" s="185"/>
      <c r="X104" s="182" t="s">
        <v>129</v>
      </c>
      <c r="Y104" s="186"/>
      <c r="Z104" s="185"/>
      <c r="AA104" s="99">
        <v>0</v>
      </c>
      <c r="AB104" s="87">
        <f t="shared" ref="AB104" si="72">SUM(K104,O104,S104,AA104)</f>
        <v>0</v>
      </c>
      <c r="AC104" s="87">
        <f t="shared" ref="AC104" si="73">SUM(AB76,AB104)</f>
        <v>0</v>
      </c>
      <c r="AD104" s="95"/>
      <c r="AE104" s="173"/>
      <c r="AF104" s="193"/>
      <c r="AG104" s="173"/>
      <c r="AH104" s="140"/>
      <c r="AI104" s="138"/>
      <c r="AJ104" s="139"/>
      <c r="AK104" s="140"/>
      <c r="AL104" s="87"/>
      <c r="AM104" s="141"/>
      <c r="AN104" s="141"/>
      <c r="AO104" s="141"/>
      <c r="AP104" s="141"/>
      <c r="AQ104" s="87"/>
      <c r="AR104" s="257"/>
      <c r="AS104" s="257"/>
      <c r="AT104" s="257"/>
      <c r="AU104" s="257"/>
      <c r="AV104" s="257"/>
      <c r="AW104" s="257"/>
      <c r="AX104" s="257"/>
      <c r="AY104" s="257"/>
      <c r="AZ104" s="257"/>
    </row>
    <row r="105" spans="1:52" ht="11.25" customHeight="1" x14ac:dyDescent="0.25">
      <c r="L105" s="100" t="s">
        <v>154</v>
      </c>
      <c r="M105">
        <v>7</v>
      </c>
      <c r="N105" s="44" t="s">
        <v>155</v>
      </c>
      <c r="O105" s="44">
        <v>1</v>
      </c>
      <c r="P105" s="44" t="s">
        <v>156</v>
      </c>
      <c r="Q105">
        <v>7</v>
      </c>
      <c r="R105" s="101" t="s">
        <v>157</v>
      </c>
      <c r="S105" s="80">
        <v>4</v>
      </c>
    </row>
    <row r="106" spans="1:52" ht="11.25" customHeight="1" x14ac:dyDescent="0.25">
      <c r="L106" s="100" t="s">
        <v>153</v>
      </c>
      <c r="M106">
        <v>0</v>
      </c>
      <c r="P106" s="44" t="s">
        <v>158</v>
      </c>
      <c r="Q106">
        <v>2</v>
      </c>
    </row>
    <row r="107" spans="1:52" ht="12.75" customHeight="1" x14ac:dyDescent="0.25">
      <c r="A107" s="228" t="s">
        <v>33</v>
      </c>
      <c r="B107" s="1"/>
      <c r="C107" s="1"/>
      <c r="D107" s="230" t="s">
        <v>34</v>
      </c>
      <c r="E107" s="230"/>
      <c r="F107" s="2"/>
      <c r="G107" s="3"/>
      <c r="H107" s="66"/>
      <c r="I107" s="230" t="s">
        <v>35</v>
      </c>
      <c r="J107" s="230"/>
      <c r="K107" s="3"/>
      <c r="L107" s="4"/>
      <c r="M107" s="66"/>
      <c r="N107" s="230" t="s">
        <v>36</v>
      </c>
      <c r="O107" s="230"/>
      <c r="P107" s="2"/>
      <c r="Q107" s="5"/>
      <c r="R107" s="66"/>
      <c r="S107" s="66"/>
      <c r="T107" s="2" t="s">
        <v>37</v>
      </c>
      <c r="U107" s="4"/>
      <c r="V107" s="6"/>
      <c r="W107" s="2"/>
      <c r="X107" s="2" t="s">
        <v>38</v>
      </c>
      <c r="Y107" s="2"/>
      <c r="Z107" s="231" t="s">
        <v>39</v>
      </c>
      <c r="AA107" s="232"/>
      <c r="AB107" s="78"/>
      <c r="AC107" s="78"/>
    </row>
    <row r="108" spans="1:52" ht="12.75" customHeight="1" x14ac:dyDescent="0.25">
      <c r="A108" s="229"/>
      <c r="B108" s="7">
        <v>4</v>
      </c>
      <c r="C108" s="8">
        <v>5</v>
      </c>
      <c r="D108" s="8">
        <v>8</v>
      </c>
      <c r="E108" s="8">
        <v>14</v>
      </c>
      <c r="F108" s="8">
        <v>22</v>
      </c>
      <c r="G108" s="9">
        <v>29</v>
      </c>
      <c r="H108" s="7">
        <v>5</v>
      </c>
      <c r="I108" s="10">
        <v>12</v>
      </c>
      <c r="J108" s="8">
        <v>20</v>
      </c>
      <c r="K108" s="9">
        <v>26</v>
      </c>
      <c r="L108" s="10">
        <v>2</v>
      </c>
      <c r="M108" s="8">
        <v>9</v>
      </c>
      <c r="N108" s="8">
        <v>13</v>
      </c>
      <c r="O108" s="8">
        <v>23</v>
      </c>
      <c r="P108" s="8">
        <v>27</v>
      </c>
      <c r="Q108" s="11">
        <v>27</v>
      </c>
      <c r="R108" s="10">
        <v>7</v>
      </c>
      <c r="S108" s="12">
        <v>11</v>
      </c>
      <c r="T108" s="12">
        <v>18</v>
      </c>
      <c r="U108" s="12">
        <v>21</v>
      </c>
      <c r="V108" s="13">
        <v>25</v>
      </c>
      <c r="W108" s="10" t="s">
        <v>40</v>
      </c>
      <c r="X108" s="8" t="s">
        <v>40</v>
      </c>
      <c r="Y108" s="12" t="s">
        <v>40</v>
      </c>
      <c r="Z108" s="233"/>
      <c r="AA108" s="234"/>
      <c r="AB108" s="78"/>
      <c r="AC108" s="78"/>
    </row>
    <row r="109" spans="1:52" ht="12.75" customHeight="1" thickBot="1" x14ac:dyDescent="0.3">
      <c r="A109" s="14" t="s">
        <v>41</v>
      </c>
      <c r="B109" s="15">
        <v>1</v>
      </c>
      <c r="C109" s="16">
        <v>2</v>
      </c>
      <c r="D109" s="16">
        <v>3</v>
      </c>
      <c r="E109" s="16">
        <v>4</v>
      </c>
      <c r="F109" s="16">
        <v>5</v>
      </c>
      <c r="G109" s="17">
        <v>6</v>
      </c>
      <c r="H109" s="18">
        <v>7</v>
      </c>
      <c r="I109" s="18">
        <v>8</v>
      </c>
      <c r="J109" s="16">
        <v>9</v>
      </c>
      <c r="K109" s="17">
        <v>10</v>
      </c>
      <c r="L109" s="18">
        <v>11</v>
      </c>
      <c r="M109" s="16">
        <v>12</v>
      </c>
      <c r="N109" s="16">
        <v>13</v>
      </c>
      <c r="O109" s="16">
        <v>14</v>
      </c>
      <c r="P109" s="16">
        <v>15</v>
      </c>
      <c r="Q109" s="17">
        <v>16</v>
      </c>
      <c r="R109" s="18">
        <v>17</v>
      </c>
      <c r="S109" s="16">
        <v>18</v>
      </c>
      <c r="T109" s="16">
        <v>19</v>
      </c>
      <c r="U109" s="18">
        <v>20</v>
      </c>
      <c r="V109" s="17">
        <v>21</v>
      </c>
      <c r="W109" s="18">
        <v>22</v>
      </c>
      <c r="X109" s="16">
        <v>23</v>
      </c>
      <c r="Y109" s="16">
        <v>24</v>
      </c>
      <c r="Z109" s="235"/>
      <c r="AA109" s="236"/>
      <c r="AB109" s="78" t="s">
        <v>133</v>
      </c>
      <c r="AC109" s="78" t="s">
        <v>134</v>
      </c>
    </row>
    <row r="110" spans="1:52" ht="12.75" customHeight="1" x14ac:dyDescent="0.25">
      <c r="A110" s="68" t="s">
        <v>99</v>
      </c>
      <c r="B110" s="25" t="s">
        <v>42</v>
      </c>
      <c r="C110" s="20" t="s">
        <v>59</v>
      </c>
      <c r="D110" s="20" t="s">
        <v>44</v>
      </c>
      <c r="E110" s="20" t="s">
        <v>45</v>
      </c>
      <c r="F110" s="20" t="s">
        <v>56</v>
      </c>
      <c r="G110" s="20" t="s">
        <v>47</v>
      </c>
      <c r="H110" s="20" t="s">
        <v>68</v>
      </c>
      <c r="I110" s="20" t="s">
        <v>49</v>
      </c>
      <c r="J110" s="20" t="s">
        <v>58</v>
      </c>
      <c r="K110" s="20" t="s">
        <v>70</v>
      </c>
      <c r="L110" s="20" t="s">
        <v>65</v>
      </c>
      <c r="M110" s="20" t="s">
        <v>53</v>
      </c>
      <c r="N110" s="20" t="s">
        <v>54</v>
      </c>
      <c r="O110" s="20" t="s">
        <v>62</v>
      </c>
      <c r="P110" s="20" t="s">
        <v>56</v>
      </c>
      <c r="Q110" s="20" t="s">
        <v>43</v>
      </c>
      <c r="R110" s="20" t="s">
        <v>46</v>
      </c>
      <c r="S110" s="20" t="s">
        <v>51</v>
      </c>
      <c r="T110" s="21" t="s">
        <v>58</v>
      </c>
      <c r="U110" s="20" t="s">
        <v>51</v>
      </c>
      <c r="V110" s="20" t="s">
        <v>63</v>
      </c>
      <c r="W110" s="20" t="s">
        <v>59</v>
      </c>
      <c r="X110" s="20" t="s">
        <v>55</v>
      </c>
      <c r="Y110" s="20" t="s">
        <v>65</v>
      </c>
      <c r="Z110" s="216">
        <f>SUM(B111:Y111)</f>
        <v>11</v>
      </c>
      <c r="AA110" s="134"/>
      <c r="AB110" s="46"/>
      <c r="AC110" s="119">
        <f>SUM(Z110,AB111)</f>
        <v>11</v>
      </c>
    </row>
    <row r="111" spans="1:52" ht="12.75" customHeight="1" thickBot="1" x14ac:dyDescent="0.3">
      <c r="A111" s="67"/>
      <c r="B111" s="22">
        <f>IF(B130="Philadelphia Eagles",1,0)</f>
        <v>1</v>
      </c>
      <c r="C111" s="23">
        <f>IF(C130="Los Angeles Chargers",1,0)</f>
        <v>1</v>
      </c>
      <c r="D111" s="23">
        <f>IF(D130="Minnesota Vikings",1,0)</f>
        <v>1</v>
      </c>
      <c r="E111" s="23">
        <f>IF(E130="Los Angeles Rams",1,0)</f>
        <v>1</v>
      </c>
      <c r="F111" s="23">
        <f>IF(F130="Detroit Lions",1,0)</f>
        <v>1</v>
      </c>
      <c r="G111" s="23">
        <f>IF(G130="Denver Broncos",1,0)</f>
        <v>1</v>
      </c>
      <c r="H111" s="23">
        <f>IF(H130="Las Vegas Raiders",1,0)</f>
        <v>0</v>
      </c>
      <c r="I111" s="23">
        <f>IF(I130="Pittsburgh Steelers",1,0)</f>
        <v>1</v>
      </c>
      <c r="J111" s="23">
        <f>IF(J130="Seattle Seahawks",1,0)</f>
        <v>1</v>
      </c>
      <c r="K111" s="23">
        <f>IF(K130="New Orleans Saints",1,0)</f>
        <v>0</v>
      </c>
      <c r="L111" s="23">
        <f>IF(L130="San Francisco 49ers",1,0)</f>
        <v>1</v>
      </c>
      <c r="M111" s="23">
        <f>IF(M130="Buffalo Bills",1,0)</f>
        <v>0</v>
      </c>
      <c r="N111" s="23">
        <f>IF(N130="New York Jets",1,0)</f>
        <v>0</v>
      </c>
      <c r="O111" s="23">
        <f>IF(O130="Arizona Cardinals",1,0)</f>
        <v>0</v>
      </c>
      <c r="P111" s="23">
        <f>IF(P130="Detroit Lions",1,0)</f>
        <v>0</v>
      </c>
      <c r="Q111" s="23">
        <f>IF(Q130="Kansas City Chiefs",1,0)</f>
        <v>0</v>
      </c>
      <c r="R111" s="23">
        <f>IF(R130="Baltimore Ravens",1,0)</f>
        <v>0</v>
      </c>
      <c r="S111" s="23">
        <f>IF(S130="Tampa Bay Buccaneers",1,0)</f>
        <v>0</v>
      </c>
      <c r="T111" s="23">
        <f>IF(T130="Seattle Seahawks",1,0)</f>
        <v>1</v>
      </c>
      <c r="U111" s="23">
        <f>IF(U130="Tampa Bay Buccaneers",1,0)</f>
        <v>0</v>
      </c>
      <c r="V111" s="23">
        <f>IF(V130="Washington Commanders",1,0)</f>
        <v>0</v>
      </c>
      <c r="W111" s="23">
        <f>IF(W130="Los Angeles Chargers",1,0)</f>
        <v>0</v>
      </c>
      <c r="X111" s="23">
        <f>IF(X130="Jacksonville Jaguars",1,0)</f>
        <v>1</v>
      </c>
      <c r="Y111" s="24">
        <f>IF(Y130="San Francisco 49ers",1,0)</f>
        <v>0</v>
      </c>
      <c r="Z111" s="125"/>
      <c r="AA111" s="127"/>
      <c r="AB111" s="46"/>
      <c r="AC111" s="119"/>
    </row>
    <row r="112" spans="1:52" ht="12.75" customHeight="1" x14ac:dyDescent="0.25">
      <c r="A112" s="69" t="s">
        <v>24</v>
      </c>
      <c r="B112" s="19" t="s">
        <v>42</v>
      </c>
      <c r="C112" s="20" t="s">
        <v>59</v>
      </c>
      <c r="D112" s="20" t="s">
        <v>60</v>
      </c>
      <c r="E112" s="20" t="s">
        <v>45</v>
      </c>
      <c r="F112" s="20" t="s">
        <v>46</v>
      </c>
      <c r="G112" s="20" t="s">
        <v>47</v>
      </c>
      <c r="H112" s="20" t="s">
        <v>48</v>
      </c>
      <c r="I112" s="20" t="s">
        <v>49</v>
      </c>
      <c r="J112" s="20" t="s">
        <v>50</v>
      </c>
      <c r="K112" s="20" t="s">
        <v>51</v>
      </c>
      <c r="L112" s="20" t="s">
        <v>65</v>
      </c>
      <c r="M112" s="20" t="s">
        <v>53</v>
      </c>
      <c r="N112" s="20" t="s">
        <v>61</v>
      </c>
      <c r="O112" s="20" t="s">
        <v>55</v>
      </c>
      <c r="P112" s="20" t="s">
        <v>67</v>
      </c>
      <c r="Q112" s="20" t="s">
        <v>43</v>
      </c>
      <c r="R112" s="20" t="s">
        <v>46</v>
      </c>
      <c r="S112" s="20" t="s">
        <v>72</v>
      </c>
      <c r="T112" s="21" t="s">
        <v>58</v>
      </c>
      <c r="U112" s="20" t="s">
        <v>51</v>
      </c>
      <c r="V112" s="20" t="s">
        <v>63</v>
      </c>
      <c r="W112" s="20" t="s">
        <v>59</v>
      </c>
      <c r="X112" s="20" t="s">
        <v>55</v>
      </c>
      <c r="Y112" s="20" t="s">
        <v>65</v>
      </c>
      <c r="Z112" s="216">
        <f>SUM(B113:Y113)</f>
        <v>14</v>
      </c>
      <c r="AA112" s="134"/>
      <c r="AB112" s="46"/>
      <c r="AC112" s="119">
        <f t="shared" ref="AC112" si="74">SUM(Z112,AB113)</f>
        <v>14</v>
      </c>
    </row>
    <row r="113" spans="1:29" ht="12.75" customHeight="1" thickBot="1" x14ac:dyDescent="0.3">
      <c r="A113" s="70"/>
      <c r="B113" s="22">
        <f>IF(B130="Philadelphia Eagles",1,0)</f>
        <v>1</v>
      </c>
      <c r="C113" s="23">
        <f>IF(C130="Los Angeles Chargers",1,0)</f>
        <v>1</v>
      </c>
      <c r="D113" s="23">
        <f>IF(D130="Chicago Bears",1,0)</f>
        <v>0</v>
      </c>
      <c r="E113" s="23">
        <f>IF(E130="Los Angeles Rams",1,0)</f>
        <v>1</v>
      </c>
      <c r="F113" s="23">
        <f>IF(F130="Baltimore Ravens",1,0)</f>
        <v>0</v>
      </c>
      <c r="G113" s="23">
        <f>IF(G130="Denver Broncos",1,0)</f>
        <v>1</v>
      </c>
      <c r="H113" s="23">
        <f>IF(H130="Indianapolis Colts",1,0)</f>
        <v>1</v>
      </c>
      <c r="I113" s="23">
        <f>IF(I130="Pittsburgh Steelers",1,0)</f>
        <v>1</v>
      </c>
      <c r="J113" s="23">
        <f>IF(J130="Houston Texans",1,0)</f>
        <v>0</v>
      </c>
      <c r="K113" s="23">
        <f>IF(K130="Tampa Bay Buccaneers",1,0)</f>
        <v>1</v>
      </c>
      <c r="L113" s="23">
        <f>IF(L130="San Francisco 49ers",1,0)</f>
        <v>1</v>
      </c>
      <c r="M113" s="23">
        <f>IF(M130="Buffalo Bills",1,0)</f>
        <v>0</v>
      </c>
      <c r="N113" s="23">
        <f>IF(N130="New England Patriots",1,0)</f>
        <v>1</v>
      </c>
      <c r="O113" s="23">
        <f>IF(O130="Jacksonville Jaguars",1,0)</f>
        <v>1</v>
      </c>
      <c r="P113" s="23">
        <f>IF(P130="Green Bay Packers",1,0)</f>
        <v>1</v>
      </c>
      <c r="Q113" s="23">
        <f>IF(Q130="Kansas City Chiefs",1,0)</f>
        <v>0</v>
      </c>
      <c r="R113" s="23">
        <f>IF(R130="Baltimore Ravens",1,0)</f>
        <v>0</v>
      </c>
      <c r="S113" s="23">
        <f>IF(S130="Atlanta Falcons",1,0)</f>
        <v>1</v>
      </c>
      <c r="T113" s="23">
        <f>IF(T130="Seattle Seahawks",1,0)</f>
        <v>1</v>
      </c>
      <c r="U113" s="23">
        <f>IF(U130="Tampa Bay Buccaneers",1,0)</f>
        <v>0</v>
      </c>
      <c r="V113" s="23">
        <f>IF(V130="Washington Commanders",1,0)</f>
        <v>0</v>
      </c>
      <c r="W113" s="23">
        <f>IF(W130="Los Angeles Chargers",1,0)</f>
        <v>0</v>
      </c>
      <c r="X113" s="23">
        <f>IF(X130="Jacksonville Jaguars",1,0)</f>
        <v>1</v>
      </c>
      <c r="Y113" s="24">
        <f>IF(Y130="San Francisco 49ers",1,0)</f>
        <v>0</v>
      </c>
      <c r="Z113" s="125"/>
      <c r="AA113" s="127"/>
      <c r="AB113" s="46"/>
      <c r="AC113" s="119"/>
    </row>
    <row r="114" spans="1:29" ht="12.75" customHeight="1" x14ac:dyDescent="0.25">
      <c r="A114" s="68" t="s">
        <v>25</v>
      </c>
      <c r="B114" s="19" t="s">
        <v>42</v>
      </c>
      <c r="C114" s="20" t="s">
        <v>43</v>
      </c>
      <c r="D114" s="20" t="s">
        <v>44</v>
      </c>
      <c r="E114" s="20" t="s">
        <v>45</v>
      </c>
      <c r="F114" s="20" t="s">
        <v>46</v>
      </c>
      <c r="G114" s="20" t="s">
        <v>47</v>
      </c>
      <c r="H114" s="20" t="s">
        <v>68</v>
      </c>
      <c r="I114" s="20" t="s">
        <v>49</v>
      </c>
      <c r="J114" s="20" t="s">
        <v>50</v>
      </c>
      <c r="K114" s="20" t="s">
        <v>51</v>
      </c>
      <c r="L114" s="20" t="s">
        <v>65</v>
      </c>
      <c r="M114" s="20" t="s">
        <v>53</v>
      </c>
      <c r="N114" s="20" t="s">
        <v>54</v>
      </c>
      <c r="O114" s="20" t="s">
        <v>55</v>
      </c>
      <c r="P114" s="20" t="s">
        <v>56</v>
      </c>
      <c r="Q114" s="20" t="s">
        <v>43</v>
      </c>
      <c r="R114" s="20" t="s">
        <v>46</v>
      </c>
      <c r="S114" s="20" t="s">
        <v>51</v>
      </c>
      <c r="T114" s="21" t="s">
        <v>45</v>
      </c>
      <c r="U114" s="20" t="s">
        <v>51</v>
      </c>
      <c r="V114" s="20" t="s">
        <v>63</v>
      </c>
      <c r="W114" s="20" t="s">
        <v>47</v>
      </c>
      <c r="X114" s="20" t="s">
        <v>55</v>
      </c>
      <c r="Y114" s="20" t="s">
        <v>65</v>
      </c>
      <c r="Z114" s="216">
        <f>SUM(B115:Y115)</f>
        <v>10</v>
      </c>
      <c r="AA114" s="134"/>
      <c r="AB114" s="46"/>
      <c r="AC114" s="119">
        <f t="shared" ref="AC114" si="75">SUM(Z114,AB115)</f>
        <v>10</v>
      </c>
    </row>
    <row r="115" spans="1:29" ht="12.75" customHeight="1" thickBot="1" x14ac:dyDescent="0.3">
      <c r="A115" s="67"/>
      <c r="B115" s="22">
        <f>IF(B130="Philadelphia Eagles",1,0)</f>
        <v>1</v>
      </c>
      <c r="C115" s="23">
        <f>IF(C130="Kansas City Chiefs",1,0)</f>
        <v>0</v>
      </c>
      <c r="D115" s="23">
        <f>IF(D130="Minnesota Vikings",1,0)</f>
        <v>1</v>
      </c>
      <c r="E115" s="23">
        <f>IF(E130="Los Angeles Rams",1,0)</f>
        <v>1</v>
      </c>
      <c r="F115" s="23">
        <f>IF(F130="Baltimore Ravens",1,0)</f>
        <v>0</v>
      </c>
      <c r="G115" s="23">
        <f>IF(G130="Denver Broncos",1,0)</f>
        <v>1</v>
      </c>
      <c r="H115" s="23">
        <f>IF(H130="Las Vegas Raiders",1,0)</f>
        <v>0</v>
      </c>
      <c r="I115" s="23">
        <f>IF(I130="Pittsburgh Steelers",1,0)</f>
        <v>1</v>
      </c>
      <c r="J115" s="23">
        <f>IF(J130="Houston Texans",1,0)</f>
        <v>0</v>
      </c>
      <c r="K115" s="23">
        <f>IF(K130="Tampa Bay Buccaneers",1,0)</f>
        <v>1</v>
      </c>
      <c r="L115" s="23">
        <f>IF(L130="San Francisco 49ers",1,0)</f>
        <v>1</v>
      </c>
      <c r="M115" s="23">
        <f>IF(M130="Buffalo Bills",1,0)</f>
        <v>0</v>
      </c>
      <c r="N115" s="23">
        <f>IF(N130="New York Jets",1,0)</f>
        <v>0</v>
      </c>
      <c r="O115" s="23">
        <f>IF(O130="Jacksonville Jaguars",1,0)</f>
        <v>1</v>
      </c>
      <c r="P115" s="23">
        <f>IF(P130="Detroit Lions",1,0)</f>
        <v>0</v>
      </c>
      <c r="Q115" s="23">
        <f>IF(Q130="Kansas City Chiefs",1,0)</f>
        <v>0</v>
      </c>
      <c r="R115" s="23">
        <f>IF(R130="Baltimore Ravens",1,0)</f>
        <v>0</v>
      </c>
      <c r="S115" s="23">
        <f>IF(S130="Tampa Bay Buccaneers",1,0)</f>
        <v>0</v>
      </c>
      <c r="T115" s="23">
        <f>IF(T130="Los Angeles Rams",1,0)</f>
        <v>0</v>
      </c>
      <c r="U115" s="23">
        <f>IF(U130="Tampa Bay Buccaneers",1,0)</f>
        <v>0</v>
      </c>
      <c r="V115" s="23">
        <f>IF(V130="Washington Commanders",1,0)</f>
        <v>0</v>
      </c>
      <c r="W115" s="23">
        <f>IF(W130="Denver Broncos",1,0)</f>
        <v>1</v>
      </c>
      <c r="X115" s="23">
        <f>IF(X130="Jacksonville Jaguars",1,0)</f>
        <v>1</v>
      </c>
      <c r="Y115" s="24">
        <f>IF(Y130="San Francisco 49ers",1,0)</f>
        <v>0</v>
      </c>
      <c r="Z115" s="125"/>
      <c r="AA115" s="127"/>
      <c r="AB115" s="46"/>
      <c r="AC115" s="119"/>
    </row>
    <row r="116" spans="1:29" ht="12.75" customHeight="1" x14ac:dyDescent="0.25">
      <c r="A116" s="69" t="s">
        <v>26</v>
      </c>
      <c r="B116" s="19" t="s">
        <v>42</v>
      </c>
      <c r="C116" s="20" t="s">
        <v>43</v>
      </c>
      <c r="D116" s="20" t="s">
        <v>44</v>
      </c>
      <c r="E116" s="20" t="s">
        <v>45</v>
      </c>
      <c r="F116" s="20" t="s">
        <v>46</v>
      </c>
      <c r="G116" s="20" t="s">
        <v>75</v>
      </c>
      <c r="H116" s="20" t="s">
        <v>48</v>
      </c>
      <c r="I116" s="20" t="s">
        <v>49</v>
      </c>
      <c r="J116" s="20" t="s">
        <v>50</v>
      </c>
      <c r="K116" s="20" t="s">
        <v>51</v>
      </c>
      <c r="L116" s="20" t="s">
        <v>65</v>
      </c>
      <c r="M116" s="20" t="s">
        <v>53</v>
      </c>
      <c r="N116" s="20" t="s">
        <v>61</v>
      </c>
      <c r="O116" s="20" t="s">
        <v>62</v>
      </c>
      <c r="P116" s="20" t="s">
        <v>56</v>
      </c>
      <c r="Q116" s="20" t="s">
        <v>43</v>
      </c>
      <c r="R116" s="20" t="s">
        <v>46</v>
      </c>
      <c r="S116" s="20" t="s">
        <v>72</v>
      </c>
      <c r="T116" s="21" t="s">
        <v>45</v>
      </c>
      <c r="U116" s="20" t="s">
        <v>51</v>
      </c>
      <c r="V116" s="20" t="s">
        <v>63</v>
      </c>
      <c r="W116" s="20" t="s">
        <v>47</v>
      </c>
      <c r="X116" s="20" t="s">
        <v>64</v>
      </c>
      <c r="Y116" s="20" t="s">
        <v>65</v>
      </c>
      <c r="Z116" s="216">
        <f>SUM(B117:Y117)</f>
        <v>10</v>
      </c>
      <c r="AA116" s="134"/>
      <c r="AB116" s="46"/>
      <c r="AC116" s="119">
        <f t="shared" ref="AC116" si="76">SUM(Z116,AB117)</f>
        <v>10</v>
      </c>
    </row>
    <row r="117" spans="1:29" ht="12.75" customHeight="1" thickBot="1" x14ac:dyDescent="0.3">
      <c r="A117" s="70"/>
      <c r="B117" s="22">
        <f>IF(B130="Philadelphia Eagles",1,0)</f>
        <v>1</v>
      </c>
      <c r="C117" s="23">
        <f>IF(C130="Kansas City Chiefs",1,0)</f>
        <v>0</v>
      </c>
      <c r="D117" s="23">
        <f>IF(D130="Minnesota Vikings",1,0)</f>
        <v>1</v>
      </c>
      <c r="E117" s="23">
        <f>IF(E130="Los Angeles Rams",1,0)</f>
        <v>1</v>
      </c>
      <c r="F117" s="23">
        <f>IF(F130="Baltimore Ravens",1,0)</f>
        <v>0</v>
      </c>
      <c r="G117" s="23">
        <f>IF(G130="Cincinnati Bengals",1,0)</f>
        <v>0</v>
      </c>
      <c r="H117" s="23">
        <f>IF(H130="Indianapolis Colts",1,0)</f>
        <v>1</v>
      </c>
      <c r="I117" s="23">
        <f>IF(I130="Pittsburgh Steelers",1,0)</f>
        <v>1</v>
      </c>
      <c r="J117" s="23">
        <f>IF(J130="Houston Texans",1,0)</f>
        <v>0</v>
      </c>
      <c r="K117" s="23">
        <f>IF(K130="Tampa Bay Buccaneers",1,0)</f>
        <v>1</v>
      </c>
      <c r="L117" s="23">
        <f>IF(L130="San Francisco 49ers",1,0)</f>
        <v>1</v>
      </c>
      <c r="M117" s="23">
        <f>IF(M130="Buffalo Bills",1,0)</f>
        <v>0</v>
      </c>
      <c r="N117" s="23">
        <f>IF(N130="New England Patriots",1,0)</f>
        <v>1</v>
      </c>
      <c r="O117" s="23">
        <f>IF(O130="Arizona Cardinals",1,0)</f>
        <v>0</v>
      </c>
      <c r="P117" s="23">
        <f>IF(P130="Detroit Lions",1,0)</f>
        <v>0</v>
      </c>
      <c r="Q117" s="23">
        <f>IF(Q130="Kansas City Chiefs",1,0)</f>
        <v>0</v>
      </c>
      <c r="R117" s="23">
        <f>IF(R130="Baltimore Ravens",1,0)</f>
        <v>0</v>
      </c>
      <c r="S117" s="23">
        <f>IF(S130="Atlanta Falcons",1,0)</f>
        <v>1</v>
      </c>
      <c r="T117" s="23">
        <f>IF(T130="Los Angeles Rams",1,0)</f>
        <v>0</v>
      </c>
      <c r="U117" s="23">
        <f>IF(U130="Tampa Bay Buccaneers",1,0)</f>
        <v>0</v>
      </c>
      <c r="V117" s="23">
        <f>IF(V130="Washington Commanders",1,0)</f>
        <v>0</v>
      </c>
      <c r="W117" s="23">
        <f>IF(W130="Denver Broncos",1,0)</f>
        <v>1</v>
      </c>
      <c r="X117" s="23">
        <f>IF(X130="Tennessee Titans",1,0)</f>
        <v>0</v>
      </c>
      <c r="Y117" s="24">
        <f>IF(Y130="San Francisco 49ers",1,0)</f>
        <v>0</v>
      </c>
      <c r="Z117" s="125"/>
      <c r="AA117" s="127"/>
      <c r="AB117" s="46"/>
      <c r="AC117" s="119"/>
    </row>
    <row r="118" spans="1:29" ht="12.75" customHeight="1" x14ac:dyDescent="0.25">
      <c r="A118" s="68" t="s">
        <v>27</v>
      </c>
      <c r="B118" s="19" t="s">
        <v>42</v>
      </c>
      <c r="C118" s="20" t="s">
        <v>43</v>
      </c>
      <c r="D118" s="20" t="s">
        <v>44</v>
      </c>
      <c r="E118" s="20" t="s">
        <v>45</v>
      </c>
      <c r="F118" s="20" t="s">
        <v>46</v>
      </c>
      <c r="G118" s="20" t="s">
        <v>47</v>
      </c>
      <c r="H118" s="20" t="s">
        <v>48</v>
      </c>
      <c r="I118" s="20" t="s">
        <v>49</v>
      </c>
      <c r="J118" s="20" t="s">
        <v>58</v>
      </c>
      <c r="K118" s="20" t="s">
        <v>51</v>
      </c>
      <c r="L118" s="20" t="s">
        <v>52</v>
      </c>
      <c r="M118" s="20" t="s">
        <v>71</v>
      </c>
      <c r="N118" s="20" t="s">
        <v>54</v>
      </c>
      <c r="O118" s="20" t="s">
        <v>62</v>
      </c>
      <c r="P118" s="20" t="s">
        <v>56</v>
      </c>
      <c r="Q118" s="20" t="s">
        <v>43</v>
      </c>
      <c r="R118" s="20" t="s">
        <v>46</v>
      </c>
      <c r="S118" s="20" t="s">
        <v>51</v>
      </c>
      <c r="T118" s="21" t="s">
        <v>58</v>
      </c>
      <c r="U118" s="20" t="s">
        <v>51</v>
      </c>
      <c r="V118" s="20" t="s">
        <v>63</v>
      </c>
      <c r="W118" s="20" t="s">
        <v>47</v>
      </c>
      <c r="X118" s="20" t="s">
        <v>55</v>
      </c>
      <c r="Y118" s="20" t="s">
        <v>58</v>
      </c>
      <c r="Z118" s="216">
        <f>SUM(B119:Y119)</f>
        <v>13</v>
      </c>
      <c r="AA118" s="134"/>
      <c r="AB118" s="46"/>
      <c r="AC118" s="119">
        <f t="shared" ref="AC118" si="77">SUM(Z118,AB119)</f>
        <v>13</v>
      </c>
    </row>
    <row r="119" spans="1:29" ht="12.75" customHeight="1" thickBot="1" x14ac:dyDescent="0.3">
      <c r="A119" s="67"/>
      <c r="B119" s="22">
        <f>IF(B130="Philadelphia Eagles",1,0)</f>
        <v>1</v>
      </c>
      <c r="C119" s="23">
        <f>IF(C130="Kansas City Chiefs",1,0)</f>
        <v>0</v>
      </c>
      <c r="D119" s="23">
        <f>IF(D130="Minnesota Vikings",1,0)</f>
        <v>1</v>
      </c>
      <c r="E119" s="23">
        <f>IF(E130="Los Angeles Rams",1,0)</f>
        <v>1</v>
      </c>
      <c r="F119" s="23">
        <f>IF(F130="Baltimore Ravens",1,0)</f>
        <v>0</v>
      </c>
      <c r="G119" s="23">
        <f>IF(G130="Denver Broncos",1,0)</f>
        <v>1</v>
      </c>
      <c r="H119" s="23">
        <f>IF(H130="Indianapolis Colts",1,0)</f>
        <v>1</v>
      </c>
      <c r="I119" s="23">
        <f>IF(I130="Pittsburgh Steelers",1,0)</f>
        <v>1</v>
      </c>
      <c r="J119" s="23">
        <f>IF(J130="Seattle Seahawks",1,0)</f>
        <v>1</v>
      </c>
      <c r="K119" s="23">
        <f>IF(K130="Tampa Bay Buccaneers",1,0)</f>
        <v>1</v>
      </c>
      <c r="L119" s="23">
        <f>IF(L130="New York Giants",1,0)</f>
        <v>0</v>
      </c>
      <c r="M119" s="23">
        <f>IF(M130="Miami Dolphins",1,0)</f>
        <v>1</v>
      </c>
      <c r="N119" s="23">
        <f>IF(N130="New York Jets",1,0)</f>
        <v>0</v>
      </c>
      <c r="O119" s="23">
        <f>IF(O130="Arizona Cardinals",1,0)</f>
        <v>0</v>
      </c>
      <c r="P119" s="23">
        <f>IF(P130="Detroit Lions",1,0)</f>
        <v>0</v>
      </c>
      <c r="Q119" s="23">
        <f>IF(Q130="Kansas City Chiefs",1,0)</f>
        <v>0</v>
      </c>
      <c r="R119" s="23">
        <f>IF(R130="Baltimore Ravens",1,0)</f>
        <v>0</v>
      </c>
      <c r="S119" s="23">
        <f>IF(S130="Tampa Bay Buccaneers",1,0)</f>
        <v>0</v>
      </c>
      <c r="T119" s="23">
        <f>IF(T130="Seattle Seahawks",1,0)</f>
        <v>1</v>
      </c>
      <c r="U119" s="23">
        <f>IF(U130="Tampa Bay Buccaneers",1,0)</f>
        <v>0</v>
      </c>
      <c r="V119" s="23">
        <f>IF(V130="Washington Commanders",1,0)</f>
        <v>0</v>
      </c>
      <c r="W119" s="23">
        <f>IF(W130="Denver Broncos",1,0)</f>
        <v>1</v>
      </c>
      <c r="X119" s="23">
        <f>IF(X130="Jacksonville Jaguars",1,0)</f>
        <v>1</v>
      </c>
      <c r="Y119" s="24">
        <f>IF(Y130="Seattle Seahawks",1,0)</f>
        <v>1</v>
      </c>
      <c r="Z119" s="125"/>
      <c r="AA119" s="127"/>
      <c r="AB119" s="46"/>
      <c r="AC119" s="119"/>
    </row>
    <row r="120" spans="1:29" ht="12.75" customHeight="1" x14ac:dyDescent="0.25">
      <c r="A120" s="214" t="s">
        <v>28</v>
      </c>
      <c r="B120" s="19" t="s">
        <v>42</v>
      </c>
      <c r="C120" s="20" t="s">
        <v>43</v>
      </c>
      <c r="D120" s="20" t="s">
        <v>44</v>
      </c>
      <c r="E120" s="20" t="s">
        <v>45</v>
      </c>
      <c r="F120" s="20" t="s">
        <v>56</v>
      </c>
      <c r="G120" s="20" t="s">
        <v>75</v>
      </c>
      <c r="H120" s="20" t="s">
        <v>48</v>
      </c>
      <c r="I120" s="20" t="s">
        <v>49</v>
      </c>
      <c r="J120" s="20" t="s">
        <v>50</v>
      </c>
      <c r="K120" s="20" t="s">
        <v>51</v>
      </c>
      <c r="L120" s="20" t="s">
        <v>65</v>
      </c>
      <c r="M120" s="20" t="s">
        <v>53</v>
      </c>
      <c r="N120" s="20" t="s">
        <v>54</v>
      </c>
      <c r="O120" s="20" t="s">
        <v>55</v>
      </c>
      <c r="P120" s="20" t="s">
        <v>56</v>
      </c>
      <c r="Q120" s="20" t="s">
        <v>43</v>
      </c>
      <c r="R120" s="20" t="s">
        <v>49</v>
      </c>
      <c r="S120" s="20" t="s">
        <v>72</v>
      </c>
      <c r="T120" s="21" t="s">
        <v>45</v>
      </c>
      <c r="U120" s="20" t="s">
        <v>51</v>
      </c>
      <c r="V120" s="20" t="s">
        <v>63</v>
      </c>
      <c r="W120" s="20" t="s">
        <v>59</v>
      </c>
      <c r="X120" s="20" t="s">
        <v>55</v>
      </c>
      <c r="Y120" s="20" t="s">
        <v>58</v>
      </c>
      <c r="Z120" s="216">
        <f>SUM(B121:Y121)</f>
        <v>13</v>
      </c>
      <c r="AA120" s="134"/>
      <c r="AB120" s="46"/>
      <c r="AC120" s="119">
        <f t="shared" ref="AC120" si="78">SUM(Z120,AB121)</f>
        <v>13</v>
      </c>
    </row>
    <row r="121" spans="1:29" ht="12.75" customHeight="1" thickBot="1" x14ac:dyDescent="0.3">
      <c r="A121" s="215"/>
      <c r="B121" s="22">
        <f>IF(B130="Philadelphia Eagles",1,0)</f>
        <v>1</v>
      </c>
      <c r="C121" s="23">
        <f>IF(C130="Kansas City Chiefs",1,0)</f>
        <v>0</v>
      </c>
      <c r="D121" s="23">
        <f>IF(D130="Minnesota Vikings",1,0)</f>
        <v>1</v>
      </c>
      <c r="E121" s="23">
        <f>IF(E130="Los Angeles Rams",1,0)</f>
        <v>1</v>
      </c>
      <c r="F121" s="23">
        <f>IF(F130="Detroit Lions",1,0)</f>
        <v>1</v>
      </c>
      <c r="G121" s="23">
        <f>IF(G130="Cincinnati Bengals",1,0)</f>
        <v>0</v>
      </c>
      <c r="H121" s="23">
        <f>IF(H130="Indianapolis Colts",1,0)</f>
        <v>1</v>
      </c>
      <c r="I121" s="23">
        <f>IF(I130="Pittsburgh Steelers",1,0)</f>
        <v>1</v>
      </c>
      <c r="J121" s="23">
        <f>IF(J130="Houston Texans",1,0)</f>
        <v>0</v>
      </c>
      <c r="K121" s="23">
        <f>IF(K130="Tampa Bay Buccaneers",1,0)</f>
        <v>1</v>
      </c>
      <c r="L121" s="23">
        <f>IF(L130="San Francisco 49ers",1,0)</f>
        <v>1</v>
      </c>
      <c r="M121" s="23">
        <f>IF(M130="Buffalo Bills",1,0)</f>
        <v>0</v>
      </c>
      <c r="N121" s="23">
        <f>IF(N130="New York Jets",1,0)</f>
        <v>0</v>
      </c>
      <c r="O121" s="23">
        <f>IF(O130="Jacksonville Jaguars",1,0)</f>
        <v>1</v>
      </c>
      <c r="P121" s="23">
        <f>IF(P130="Detroit Lions",1,0)</f>
        <v>0</v>
      </c>
      <c r="Q121" s="23">
        <f>IF(Q130="Kansas City Chiefs",1,0)</f>
        <v>0</v>
      </c>
      <c r="R121" s="23">
        <f>IF(R130="Pittsburgh Steelers",1,0)</f>
        <v>1</v>
      </c>
      <c r="S121" s="23">
        <f>IF(S130="Atlanta Falcons",1,0)</f>
        <v>1</v>
      </c>
      <c r="T121" s="23">
        <f>IF(T130="Los Angeles Rams",1,0)</f>
        <v>0</v>
      </c>
      <c r="U121" s="23">
        <f>IF(U130="Tampa Bay Buccaneers",1,0)</f>
        <v>0</v>
      </c>
      <c r="V121" s="23">
        <f>IF(V130="Washington Commanders",1,0)</f>
        <v>0</v>
      </c>
      <c r="W121" s="23">
        <f>IF(W130="Los Angeles Chargers",1,0)</f>
        <v>0</v>
      </c>
      <c r="X121" s="23">
        <f>IF(X130="Jacksonville Jaguars",1,0)</f>
        <v>1</v>
      </c>
      <c r="Y121" s="24">
        <f>IF(Y130="Seattle Seahawks",1,0)</f>
        <v>1</v>
      </c>
      <c r="Z121" s="125"/>
      <c r="AA121" s="127"/>
      <c r="AB121" s="46"/>
      <c r="AC121" s="119"/>
    </row>
    <row r="122" spans="1:29" ht="12.75" customHeight="1" x14ac:dyDescent="0.25">
      <c r="A122" s="226" t="s">
        <v>29</v>
      </c>
      <c r="B122" s="19" t="s">
        <v>42</v>
      </c>
      <c r="C122" s="20" t="s">
        <v>43</v>
      </c>
      <c r="D122" s="20" t="s">
        <v>60</v>
      </c>
      <c r="E122" s="20" t="s">
        <v>45</v>
      </c>
      <c r="F122" s="20" t="s">
        <v>56</v>
      </c>
      <c r="G122" s="20" t="s">
        <v>75</v>
      </c>
      <c r="H122" s="20" t="s">
        <v>48</v>
      </c>
      <c r="I122" s="20" t="s">
        <v>49</v>
      </c>
      <c r="J122" s="20" t="s">
        <v>50</v>
      </c>
      <c r="K122" s="20" t="s">
        <v>70</v>
      </c>
      <c r="L122" s="20" t="s">
        <v>65</v>
      </c>
      <c r="M122" s="20" t="s">
        <v>53</v>
      </c>
      <c r="N122" s="20" t="s">
        <v>54</v>
      </c>
      <c r="O122" s="20" t="s">
        <v>55</v>
      </c>
      <c r="P122" s="20" t="s">
        <v>56</v>
      </c>
      <c r="Q122" s="20" t="s">
        <v>43</v>
      </c>
      <c r="R122" s="20" t="s">
        <v>46</v>
      </c>
      <c r="S122" s="20" t="s">
        <v>72</v>
      </c>
      <c r="T122" s="21" t="s">
        <v>58</v>
      </c>
      <c r="U122" s="20" t="s">
        <v>51</v>
      </c>
      <c r="V122" s="20" t="s">
        <v>57</v>
      </c>
      <c r="W122" s="20" t="s">
        <v>47</v>
      </c>
      <c r="X122" s="20" t="s">
        <v>64</v>
      </c>
      <c r="Y122" s="20" t="s">
        <v>58</v>
      </c>
      <c r="Z122" s="216">
        <f>SUM(B123:Y123)</f>
        <v>12</v>
      </c>
      <c r="AA122" s="134"/>
      <c r="AB122" s="46"/>
      <c r="AC122" s="119">
        <f t="shared" ref="AC122" si="79">SUM(Z122,AB123)</f>
        <v>12</v>
      </c>
    </row>
    <row r="123" spans="1:29" ht="12.75" customHeight="1" thickBot="1" x14ac:dyDescent="0.3">
      <c r="A123" s="227"/>
      <c r="B123" s="22">
        <f>IF(B130="Philadelphia Eagles",1,0)</f>
        <v>1</v>
      </c>
      <c r="C123" s="23">
        <f>IF(C130="Kansas City Chiefs",1,0)</f>
        <v>0</v>
      </c>
      <c r="D123" s="23">
        <f>IF(D130="Chicago Bears",1,0)</f>
        <v>0</v>
      </c>
      <c r="E123" s="23">
        <f>IF(E130="Los Angeles Rams",1,0)</f>
        <v>1</v>
      </c>
      <c r="F123" s="23">
        <f>IF(F130="Detroit Lions",1,0)</f>
        <v>1</v>
      </c>
      <c r="G123" s="23">
        <f>IF(G130="Cincinnati Bengals",1,0)</f>
        <v>0</v>
      </c>
      <c r="H123" s="23">
        <f>IF(H130="Indianapolis Colts",1,0)</f>
        <v>1</v>
      </c>
      <c r="I123" s="23">
        <f>IF(I130="Pittsburgh Steelers",1,0)</f>
        <v>1</v>
      </c>
      <c r="J123" s="23">
        <f>IF(J130="Houston Texans",1,0)</f>
        <v>0</v>
      </c>
      <c r="K123" s="23">
        <f>IF(K130="New Orleans Saints",1,0)</f>
        <v>0</v>
      </c>
      <c r="L123" s="23">
        <f>IF(L130="San Francisco 49ers",1,0)</f>
        <v>1</v>
      </c>
      <c r="M123" s="23">
        <f>IF(M130="Buffalo Bills",1,0)</f>
        <v>0</v>
      </c>
      <c r="N123" s="23">
        <f>IF(N130="New York Jets",1,0)</f>
        <v>0</v>
      </c>
      <c r="O123" s="23">
        <f>IF(O130="Jacksonville Jaguars",1,0)</f>
        <v>1</v>
      </c>
      <c r="P123" s="23">
        <f>IF(P130="Detroit Lions",1,0)</f>
        <v>0</v>
      </c>
      <c r="Q123" s="23">
        <f>IF(Q130="Kansas City Chiefs",1,0)</f>
        <v>0</v>
      </c>
      <c r="R123" s="23">
        <f>IF(R130="Baltimore Ravens",1,0)</f>
        <v>0</v>
      </c>
      <c r="S123" s="23">
        <f>IF(S130="Atlanta Falcons",1,0)</f>
        <v>1</v>
      </c>
      <c r="T123" s="23">
        <f>IF(T130="Seattle Seahawks",1,0)</f>
        <v>1</v>
      </c>
      <c r="U123" s="23">
        <f>IF(U130="Tampa Bay Buccaneers",1,0)</f>
        <v>0</v>
      </c>
      <c r="V123" s="23">
        <f>IF(V130="Dallas Cowboys",1,0)</f>
        <v>1</v>
      </c>
      <c r="W123" s="23">
        <f>IF(W130="Denver Broncos",1,0)</f>
        <v>1</v>
      </c>
      <c r="X123" s="23">
        <f>IF(X130="Tennessee Titans",1,0)</f>
        <v>0</v>
      </c>
      <c r="Y123" s="24">
        <f>IF(Y130="Seattle Seahawks",1,0)</f>
        <v>1</v>
      </c>
      <c r="Z123" s="125"/>
      <c r="AA123" s="127"/>
      <c r="AB123" s="46"/>
      <c r="AC123" s="119"/>
    </row>
    <row r="124" spans="1:29" ht="12.75" customHeight="1" x14ac:dyDescent="0.25">
      <c r="A124" s="226" t="s">
        <v>30</v>
      </c>
      <c r="B124" s="19" t="s">
        <v>42</v>
      </c>
      <c r="C124" s="20" t="s">
        <v>43</v>
      </c>
      <c r="D124" s="20" t="s">
        <v>60</v>
      </c>
      <c r="E124" s="20" t="s">
        <v>45</v>
      </c>
      <c r="F124" s="20" t="s">
        <v>46</v>
      </c>
      <c r="G124" s="20" t="s">
        <v>47</v>
      </c>
      <c r="H124" s="20" t="s">
        <v>48</v>
      </c>
      <c r="I124" s="20" t="s">
        <v>49</v>
      </c>
      <c r="J124" s="20" t="s">
        <v>58</v>
      </c>
      <c r="K124" s="20" t="s">
        <v>51</v>
      </c>
      <c r="L124" s="20" t="s">
        <v>65</v>
      </c>
      <c r="M124" s="20" t="s">
        <v>53</v>
      </c>
      <c r="N124" s="20" t="s">
        <v>61</v>
      </c>
      <c r="O124" s="20" t="s">
        <v>62</v>
      </c>
      <c r="P124" s="20" t="s">
        <v>56</v>
      </c>
      <c r="Q124" s="20" t="s">
        <v>43</v>
      </c>
      <c r="R124" s="20" t="s">
        <v>46</v>
      </c>
      <c r="S124" s="20" t="s">
        <v>72</v>
      </c>
      <c r="T124" s="21" t="s">
        <v>58</v>
      </c>
      <c r="U124" s="20" t="s">
        <v>51</v>
      </c>
      <c r="V124" s="20" t="s">
        <v>63</v>
      </c>
      <c r="W124" s="20" t="s">
        <v>47</v>
      </c>
      <c r="X124" s="20" t="s">
        <v>55</v>
      </c>
      <c r="Y124" s="20" t="s">
        <v>58</v>
      </c>
      <c r="Z124" s="216">
        <f>SUM(B125:Y125)</f>
        <v>14</v>
      </c>
      <c r="AA124" s="134"/>
      <c r="AB124" s="46"/>
      <c r="AC124" s="119">
        <f t="shared" ref="AC124" si="80">SUM(Z124,AB125)</f>
        <v>14</v>
      </c>
    </row>
    <row r="125" spans="1:29" ht="12.75" customHeight="1" thickBot="1" x14ac:dyDescent="0.3">
      <c r="A125" s="227"/>
      <c r="B125" s="22">
        <f>IF(B130="Philadelphia Eagles",1,0)</f>
        <v>1</v>
      </c>
      <c r="C125" s="23">
        <f>IF(C130="Kansas City Chiefs",1,0)</f>
        <v>0</v>
      </c>
      <c r="D125" s="23">
        <f>IF(D130="Chicago Bears",1,0)</f>
        <v>0</v>
      </c>
      <c r="E125" s="23">
        <f>IF(E130="Los Angeles Rams",1,0)</f>
        <v>1</v>
      </c>
      <c r="F125" s="23">
        <f>IF(F130="Baltimore Ravens",1,0)</f>
        <v>0</v>
      </c>
      <c r="G125" s="23">
        <f>IF(G130="Denver Broncos",1,0)</f>
        <v>1</v>
      </c>
      <c r="H125" s="23">
        <f>IF(H130="Indianapolis Colts",1,0)</f>
        <v>1</v>
      </c>
      <c r="I125" s="23">
        <f>IF(I130="Pittsburgh Steelers",1,0)</f>
        <v>1</v>
      </c>
      <c r="J125" s="23">
        <f>IF(J130="Seattle Seahawks",1,0)</f>
        <v>1</v>
      </c>
      <c r="K125" s="23">
        <f>IF(K130="Tampa Bay Buccaneers",1,0)</f>
        <v>1</v>
      </c>
      <c r="L125" s="23">
        <f>IF(L130="San Francisco 49ers",1,0)</f>
        <v>1</v>
      </c>
      <c r="M125" s="23">
        <f>IF(M130="Buffalo Bills",1,0)</f>
        <v>0</v>
      </c>
      <c r="N125" s="23">
        <f>IF(N130="New England Patriots",1,0)</f>
        <v>1</v>
      </c>
      <c r="O125" s="23">
        <f>IF(O130="Arizona Cardinals",1,0)</f>
        <v>0</v>
      </c>
      <c r="P125" s="23">
        <f>IF(P130="Detroit Lions",1,0)</f>
        <v>0</v>
      </c>
      <c r="Q125" s="23">
        <f>IF(Q130="Kansas City Chiefs",1,0)</f>
        <v>0</v>
      </c>
      <c r="R125" s="23">
        <f>IF(R130="Baltimore Ravens",1,0)</f>
        <v>0</v>
      </c>
      <c r="S125" s="23">
        <f>IF(S130="Atlanta Falcons",1,0)</f>
        <v>1</v>
      </c>
      <c r="T125" s="23">
        <f>IF(T130="Seattle Seahawks",1,0)</f>
        <v>1</v>
      </c>
      <c r="U125" s="23">
        <f>IF(U130="Tampa Bay Buccaneers",1,0)</f>
        <v>0</v>
      </c>
      <c r="V125" s="23">
        <f>IF(V130="Washington Commanders",1,0)</f>
        <v>0</v>
      </c>
      <c r="W125" s="23">
        <f>IF(W130="Denver Broncos",1,0)</f>
        <v>1</v>
      </c>
      <c r="X125" s="23">
        <f>IF(X130="Jacksonville Jaguars",1,0)</f>
        <v>1</v>
      </c>
      <c r="Y125" s="24">
        <f>IF(Y130="Seattle Seahawks",1,0)</f>
        <v>1</v>
      </c>
      <c r="Z125" s="125"/>
      <c r="AA125" s="127"/>
      <c r="AB125" s="46"/>
      <c r="AC125" s="119"/>
    </row>
    <row r="126" spans="1:29" ht="12.75" customHeight="1" x14ac:dyDescent="0.25">
      <c r="A126" s="214" t="s">
        <v>31</v>
      </c>
      <c r="B126" s="19" t="s">
        <v>42</v>
      </c>
      <c r="C126" s="20" t="s">
        <v>43</v>
      </c>
      <c r="D126" s="20" t="s">
        <v>44</v>
      </c>
      <c r="E126" s="20" t="s">
        <v>45</v>
      </c>
      <c r="F126" s="20" t="s">
        <v>46</v>
      </c>
      <c r="G126" s="20" t="s">
        <v>47</v>
      </c>
      <c r="H126" s="20" t="s">
        <v>68</v>
      </c>
      <c r="I126" s="20" t="s">
        <v>49</v>
      </c>
      <c r="J126" s="20" t="s">
        <v>58</v>
      </c>
      <c r="K126" s="20" t="s">
        <v>51</v>
      </c>
      <c r="L126" s="20" t="s">
        <v>65</v>
      </c>
      <c r="M126" s="20" t="s">
        <v>71</v>
      </c>
      <c r="N126" s="20" t="s">
        <v>61</v>
      </c>
      <c r="O126" s="20" t="s">
        <v>62</v>
      </c>
      <c r="P126" s="20" t="s">
        <v>67</v>
      </c>
      <c r="Q126" s="20" t="s">
        <v>43</v>
      </c>
      <c r="R126" s="20" t="s">
        <v>46</v>
      </c>
      <c r="S126" s="20" t="s">
        <v>51</v>
      </c>
      <c r="T126" s="21" t="s">
        <v>45</v>
      </c>
      <c r="U126" s="20" t="s">
        <v>51</v>
      </c>
      <c r="V126" s="20" t="s">
        <v>63</v>
      </c>
      <c r="W126" s="20" t="s">
        <v>59</v>
      </c>
      <c r="X126" s="20" t="s">
        <v>55</v>
      </c>
      <c r="Y126" s="20" t="s">
        <v>65</v>
      </c>
      <c r="Z126" s="216">
        <f>SUM(B127:Y127)</f>
        <v>12</v>
      </c>
      <c r="AA126" s="134"/>
      <c r="AB126" s="46"/>
      <c r="AC126" s="119">
        <f t="shared" ref="AC126" si="81">SUM(Z126,AB127)</f>
        <v>12</v>
      </c>
    </row>
    <row r="127" spans="1:29" ht="12.75" customHeight="1" thickBot="1" x14ac:dyDescent="0.3">
      <c r="A127" s="215"/>
      <c r="B127" s="22">
        <f>IF(B130="Philadelphia Eagles",1,0)</f>
        <v>1</v>
      </c>
      <c r="C127" s="23">
        <f>IF(C130="Kansas City Chiefs",1,0)</f>
        <v>0</v>
      </c>
      <c r="D127" s="23">
        <f>IF(D130="Minnesota Vikings",1,0)</f>
        <v>1</v>
      </c>
      <c r="E127" s="23">
        <f>IF(E130="Los Angeles Rams",1,0)</f>
        <v>1</v>
      </c>
      <c r="F127" s="23">
        <f>IF(F130="Baltimore Ravens",1,0)</f>
        <v>0</v>
      </c>
      <c r="G127" s="23">
        <f>IF(G130="Denver Broncos",1,0)</f>
        <v>1</v>
      </c>
      <c r="H127" s="23">
        <f>IF(H130="Las Vegas Raiders",1,0)</f>
        <v>0</v>
      </c>
      <c r="I127" s="23">
        <f>IF(I130="Pittsburgh Steelers",1,0)</f>
        <v>1</v>
      </c>
      <c r="J127" s="23">
        <f>IF(J130="Seattle Seahawks",1,0)</f>
        <v>1</v>
      </c>
      <c r="K127" s="23">
        <f>IF(K130="Tampa Bay Buccaneers",1,0)</f>
        <v>1</v>
      </c>
      <c r="L127" s="23">
        <f>IF(L130="San Francisco 49ers",1,0)</f>
        <v>1</v>
      </c>
      <c r="M127" s="23">
        <f>IF(M130="Miami Dolphins",1,0)</f>
        <v>1</v>
      </c>
      <c r="N127" s="23">
        <f>IF(N130="New England Patriots",1,0)</f>
        <v>1</v>
      </c>
      <c r="O127" s="23">
        <f>IF(O130="Arizona Cardinals",1,0)</f>
        <v>0</v>
      </c>
      <c r="P127" s="23">
        <f>IF(P130="Green Bay Packers",1,0)</f>
        <v>1</v>
      </c>
      <c r="Q127" s="23">
        <f>IF(Q130="Kansas City Chiefs",1,0)</f>
        <v>0</v>
      </c>
      <c r="R127" s="23">
        <f>IF(R130="Baltimore Ravens",1,0)</f>
        <v>0</v>
      </c>
      <c r="S127" s="23">
        <f>IF(S130="Tampa Bay Buccaneers",1,0)</f>
        <v>0</v>
      </c>
      <c r="T127" s="23">
        <f>IF(T130="Los Angeles Rams",1,0)</f>
        <v>0</v>
      </c>
      <c r="U127" s="23">
        <f>IF(U130="Tampa Bay Buccaneers",1,0)</f>
        <v>0</v>
      </c>
      <c r="V127" s="23">
        <f>IF(V130="Washington Commanders",1,0)</f>
        <v>0</v>
      </c>
      <c r="W127" s="23">
        <f>IF(W130="Los Angeles Chargers",1,0)</f>
        <v>0</v>
      </c>
      <c r="X127" s="23">
        <f>IF(X130="Jacksonville Jaguars",1,0)</f>
        <v>1</v>
      </c>
      <c r="Y127" s="24">
        <f>IF(Y130="San Francisco 49ers",1,0)</f>
        <v>0</v>
      </c>
      <c r="Z127" s="125"/>
      <c r="AA127" s="127"/>
      <c r="AB127" s="46"/>
      <c r="AC127" s="119"/>
    </row>
    <row r="128" spans="1:29" ht="12.75" customHeight="1" x14ac:dyDescent="0.25">
      <c r="A128" s="214" t="s">
        <v>32</v>
      </c>
      <c r="B128" s="19" t="s">
        <v>42</v>
      </c>
      <c r="C128" s="20" t="s">
        <v>43</v>
      </c>
      <c r="D128" s="20" t="s">
        <v>60</v>
      </c>
      <c r="E128" s="20" t="s">
        <v>45</v>
      </c>
      <c r="F128" s="20" t="s">
        <v>46</v>
      </c>
      <c r="G128" s="20" t="s">
        <v>47</v>
      </c>
      <c r="H128" s="20" t="s">
        <v>48</v>
      </c>
      <c r="I128" s="20" t="s">
        <v>49</v>
      </c>
      <c r="J128" s="20" t="s">
        <v>50</v>
      </c>
      <c r="K128" s="20" t="s">
        <v>51</v>
      </c>
      <c r="L128" s="20" t="s">
        <v>65</v>
      </c>
      <c r="M128" s="20" t="s">
        <v>53</v>
      </c>
      <c r="N128" s="20" t="s">
        <v>54</v>
      </c>
      <c r="O128" s="20" t="s">
        <v>62</v>
      </c>
      <c r="P128" s="20" t="s">
        <v>56</v>
      </c>
      <c r="Q128" s="20" t="s">
        <v>43</v>
      </c>
      <c r="R128" s="20" t="s">
        <v>46</v>
      </c>
      <c r="S128" s="20" t="s">
        <v>51</v>
      </c>
      <c r="T128" s="21" t="s">
        <v>58</v>
      </c>
      <c r="U128" s="20" t="s">
        <v>51</v>
      </c>
      <c r="V128" s="20" t="s">
        <v>63</v>
      </c>
      <c r="W128" s="20" t="s">
        <v>47</v>
      </c>
      <c r="X128" s="20" t="s">
        <v>55</v>
      </c>
      <c r="Y128" s="20" t="s">
        <v>58</v>
      </c>
      <c r="Z128" s="216">
        <f>SUM(B129:Y129)</f>
        <v>11</v>
      </c>
      <c r="AA128" s="134"/>
      <c r="AB128" s="46"/>
      <c r="AC128" s="119">
        <f t="shared" ref="AC128" si="82">SUM(Z128,AB129)</f>
        <v>11</v>
      </c>
    </row>
    <row r="129" spans="1:52" ht="12.75" customHeight="1" thickBot="1" x14ac:dyDescent="0.3">
      <c r="A129" s="215"/>
      <c r="B129" s="22">
        <f>IF(B130="Philadelphia Eagles",1,0)</f>
        <v>1</v>
      </c>
      <c r="C129" s="23">
        <f>IF(C130="Kansas City Chiefs",1,0)</f>
        <v>0</v>
      </c>
      <c r="D129" s="23">
        <f>IF(D130="Chicago Bears",1,0)</f>
        <v>0</v>
      </c>
      <c r="E129" s="23">
        <f>IF(E130="Los Angeles Rams",1,0)</f>
        <v>1</v>
      </c>
      <c r="F129" s="23">
        <f>IF(F130="Baltimore Ravens",1,0)</f>
        <v>0</v>
      </c>
      <c r="G129" s="23">
        <f>IF(G130="Denver Broncos",1,0)</f>
        <v>1</v>
      </c>
      <c r="H129" s="23">
        <f>IF(H130="Indianapolis Colts",1,0)</f>
        <v>1</v>
      </c>
      <c r="I129" s="23">
        <f>IF(I130="Pittsburgh Steelers",1,0)</f>
        <v>1</v>
      </c>
      <c r="J129" s="23">
        <f>IF(J130="Houston Texans",1,0)</f>
        <v>0</v>
      </c>
      <c r="K129" s="23">
        <f>IF(K130="Tampa Bay Buccaneers",1,0)</f>
        <v>1</v>
      </c>
      <c r="L129" s="23">
        <f>IF(L130="San Francisco 49ers",1,0)</f>
        <v>1</v>
      </c>
      <c r="M129" s="23">
        <f>IF(M130="Buffalo Bills",1,0)</f>
        <v>0</v>
      </c>
      <c r="N129" s="23">
        <f>IF(N130="New York Jets",1,0)</f>
        <v>0</v>
      </c>
      <c r="O129" s="23">
        <f>IF(O130="Arizona Cardinals",1,0)</f>
        <v>0</v>
      </c>
      <c r="P129" s="23">
        <f>IF(P130="Detroit Lions",1,0)</f>
        <v>0</v>
      </c>
      <c r="Q129" s="23">
        <f>IF(Q130="Kansas City Chiefs",1,0)</f>
        <v>0</v>
      </c>
      <c r="R129" s="23">
        <f>IF(R130="Baltimore Ravens",1,0)</f>
        <v>0</v>
      </c>
      <c r="S129" s="23">
        <f>IF(S130="Tampa Bay Buccaneers",1,0)</f>
        <v>0</v>
      </c>
      <c r="T129" s="23">
        <f>IF(T130="Seattle Seahawks",1,0)</f>
        <v>1</v>
      </c>
      <c r="U129" s="23">
        <f>IF(U130="Tampa Bay Buccaneers",1,0)</f>
        <v>0</v>
      </c>
      <c r="V129" s="23">
        <f>IF(V130="Washington Commanders",1,0)</f>
        <v>0</v>
      </c>
      <c r="W129" s="23">
        <f>IF(W130="Denver Broncos",1,0)</f>
        <v>1</v>
      </c>
      <c r="X129" s="23">
        <f>IF(X130="Jacksonville Jaguars",1,0)</f>
        <v>1</v>
      </c>
      <c r="Y129" s="24">
        <f>IF(Y130="Seattle Seahawks",1,0)</f>
        <v>1</v>
      </c>
      <c r="Z129" s="125"/>
      <c r="AA129" s="127"/>
      <c r="AB129" s="46"/>
      <c r="AC129" s="119"/>
    </row>
    <row r="130" spans="1:52" ht="12.75" customHeight="1" thickBot="1" x14ac:dyDescent="0.3">
      <c r="A130" s="26" t="s">
        <v>76</v>
      </c>
      <c r="B130" s="76" t="s">
        <v>77</v>
      </c>
      <c r="C130" s="76" t="s">
        <v>78</v>
      </c>
      <c r="D130" s="76" t="s">
        <v>79</v>
      </c>
      <c r="E130" s="76" t="s">
        <v>80</v>
      </c>
      <c r="F130" s="75" t="s">
        <v>111</v>
      </c>
      <c r="G130" s="75" t="s">
        <v>110</v>
      </c>
      <c r="H130" s="75" t="s">
        <v>114</v>
      </c>
      <c r="I130" s="75" t="s">
        <v>123</v>
      </c>
      <c r="J130" s="75" t="s">
        <v>125</v>
      </c>
      <c r="K130" s="75" t="s">
        <v>126</v>
      </c>
      <c r="L130" s="75" t="s">
        <v>124</v>
      </c>
      <c r="M130" s="75" t="s">
        <v>118</v>
      </c>
      <c r="N130" s="75" t="s">
        <v>119</v>
      </c>
      <c r="O130" s="75" t="s">
        <v>115</v>
      </c>
      <c r="P130" s="75" t="s">
        <v>112</v>
      </c>
      <c r="Q130" s="75" t="s">
        <v>109</v>
      </c>
      <c r="R130" s="75" t="s">
        <v>123</v>
      </c>
      <c r="S130" s="75" t="s">
        <v>102</v>
      </c>
      <c r="T130" s="75" t="s">
        <v>125</v>
      </c>
      <c r="U130" s="75" t="s">
        <v>105</v>
      </c>
      <c r="V130" s="75" t="s">
        <v>109</v>
      </c>
      <c r="W130" s="75" t="s">
        <v>110</v>
      </c>
      <c r="X130" s="75" t="s">
        <v>115</v>
      </c>
      <c r="Y130" s="75" t="s">
        <v>125</v>
      </c>
      <c r="Z130" s="27"/>
      <c r="AA130" s="28"/>
      <c r="AB130" s="30"/>
      <c r="AC130" s="30"/>
    </row>
    <row r="131" spans="1:52" ht="11.25" customHeight="1" x14ac:dyDescent="0.25">
      <c r="A131" s="29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53"/>
      <c r="AQ131" s="53"/>
    </row>
    <row r="132" spans="1:52" ht="11.25" customHeight="1" x14ac:dyDescent="0.25">
      <c r="A132" s="29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53"/>
      <c r="AQ132" s="53"/>
    </row>
    <row r="133" spans="1:52" ht="13.5" customHeight="1" x14ac:dyDescent="0.25">
      <c r="A133" s="217" t="s">
        <v>81</v>
      </c>
      <c r="B133" s="220" t="s">
        <v>82</v>
      </c>
      <c r="C133" s="221"/>
      <c r="D133" s="221"/>
      <c r="E133" s="221"/>
      <c r="F133" s="221"/>
      <c r="G133" s="221"/>
      <c r="H133" s="221"/>
      <c r="I133" s="221"/>
      <c r="J133" s="222"/>
      <c r="K133" s="31"/>
      <c r="L133" s="220" t="s">
        <v>83</v>
      </c>
      <c r="M133" s="221"/>
      <c r="N133" s="221"/>
      <c r="O133" s="221"/>
      <c r="P133" s="221"/>
      <c r="Q133" s="221"/>
      <c r="R133" s="222"/>
      <c r="S133" s="71"/>
      <c r="T133" s="32" t="s">
        <v>84</v>
      </c>
      <c r="U133" s="33"/>
      <c r="V133" s="33"/>
      <c r="W133" s="34"/>
      <c r="X133" s="146" t="s">
        <v>85</v>
      </c>
      <c r="Y133" s="223"/>
      <c r="Z133" s="147"/>
      <c r="AA133" s="71"/>
      <c r="AB133" s="71"/>
      <c r="AC133" s="71"/>
      <c r="AD133" s="71"/>
      <c r="AE133" s="146" t="s">
        <v>86</v>
      </c>
      <c r="AF133" s="147"/>
      <c r="AG133" s="146" t="s">
        <v>87</v>
      </c>
      <c r="AH133" s="152"/>
      <c r="AI133" s="155" t="s">
        <v>88</v>
      </c>
      <c r="AJ133" s="156"/>
      <c r="AK133" s="157"/>
      <c r="AL133" s="164" t="s">
        <v>89</v>
      </c>
      <c r="AM133" s="165"/>
      <c r="AN133" s="165"/>
      <c r="AO133" s="165"/>
      <c r="AP133" s="165"/>
      <c r="AQ133" s="165"/>
    </row>
    <row r="134" spans="1:52" ht="13.5" customHeight="1" x14ac:dyDescent="0.25">
      <c r="A134" s="218"/>
      <c r="B134" s="200" t="s">
        <v>90</v>
      </c>
      <c r="C134" s="201"/>
      <c r="D134" s="201"/>
      <c r="E134" s="201"/>
      <c r="F134" s="35"/>
      <c r="G134" s="202" t="s">
        <v>91</v>
      </c>
      <c r="H134" s="201"/>
      <c r="I134" s="201"/>
      <c r="J134" s="203"/>
      <c r="K134" s="36"/>
      <c r="L134" s="204" t="s">
        <v>90</v>
      </c>
      <c r="M134" s="205"/>
      <c r="N134" s="205"/>
      <c r="O134" s="35"/>
      <c r="P134" s="208" t="s">
        <v>91</v>
      </c>
      <c r="Q134" s="205"/>
      <c r="R134" s="209"/>
      <c r="S134" s="31"/>
      <c r="T134" s="204" t="s">
        <v>90</v>
      </c>
      <c r="U134" s="212"/>
      <c r="V134" s="208" t="s">
        <v>91</v>
      </c>
      <c r="W134" s="209"/>
      <c r="X134" s="148"/>
      <c r="Y134" s="224"/>
      <c r="Z134" s="149"/>
      <c r="AA134" s="71"/>
      <c r="AB134" s="71"/>
      <c r="AC134" s="71"/>
      <c r="AD134" s="71"/>
      <c r="AE134" s="148"/>
      <c r="AF134" s="149"/>
      <c r="AG134" s="148"/>
      <c r="AH134" s="153"/>
      <c r="AI134" s="158"/>
      <c r="AJ134" s="159"/>
      <c r="AK134" s="160"/>
      <c r="AL134" s="164"/>
      <c r="AM134" s="165"/>
      <c r="AN134" s="165"/>
      <c r="AO134" s="165"/>
      <c r="AP134" s="165"/>
      <c r="AQ134" s="165"/>
      <c r="AR134" s="145" t="s">
        <v>92</v>
      </c>
      <c r="AS134" s="145"/>
      <c r="AT134" s="145"/>
      <c r="AU134" s="145"/>
      <c r="AV134" s="145"/>
      <c r="AW134" s="145"/>
      <c r="AX134" s="145"/>
      <c r="AY134" s="145"/>
      <c r="AZ134" s="145"/>
    </row>
    <row r="135" spans="1:52" ht="13.5" customHeight="1" thickBot="1" x14ac:dyDescent="0.3">
      <c r="A135" s="219"/>
      <c r="B135" s="37" t="s">
        <v>93</v>
      </c>
      <c r="C135" s="38" t="s">
        <v>94</v>
      </c>
      <c r="D135" s="39" t="s">
        <v>95</v>
      </c>
      <c r="E135" s="39" t="s">
        <v>96</v>
      </c>
      <c r="F135" s="40"/>
      <c r="G135" s="39" t="s">
        <v>93</v>
      </c>
      <c r="H135" s="39" t="s">
        <v>94</v>
      </c>
      <c r="I135" s="39" t="s">
        <v>95</v>
      </c>
      <c r="J135" s="39" t="s">
        <v>96</v>
      </c>
      <c r="K135" s="36"/>
      <c r="L135" s="206"/>
      <c r="M135" s="207"/>
      <c r="N135" s="207"/>
      <c r="O135" s="41"/>
      <c r="P135" s="210"/>
      <c r="Q135" s="207"/>
      <c r="R135" s="211"/>
      <c r="S135" s="36"/>
      <c r="T135" s="206"/>
      <c r="U135" s="213"/>
      <c r="V135" s="210"/>
      <c r="W135" s="211"/>
      <c r="X135" s="150"/>
      <c r="Y135" s="225"/>
      <c r="Z135" s="151"/>
      <c r="AA135" s="42"/>
      <c r="AB135" s="52" t="s">
        <v>133</v>
      </c>
      <c r="AC135" s="52" t="s">
        <v>135</v>
      </c>
      <c r="AD135" s="43"/>
      <c r="AE135" s="150"/>
      <c r="AF135" s="151"/>
      <c r="AG135" s="150"/>
      <c r="AH135" s="154"/>
      <c r="AI135" s="161"/>
      <c r="AJ135" s="162"/>
      <c r="AK135" s="163"/>
      <c r="AL135" s="164"/>
      <c r="AM135" s="165"/>
      <c r="AN135" s="165"/>
      <c r="AO135" s="165"/>
      <c r="AP135" s="165"/>
      <c r="AQ135" s="165"/>
    </row>
    <row r="136" spans="1:52" ht="13.5" customHeight="1" x14ac:dyDescent="0.25">
      <c r="A136" s="115" t="s">
        <v>99</v>
      </c>
      <c r="B136" s="89" t="s">
        <v>53</v>
      </c>
      <c r="C136" s="90" t="s">
        <v>46</v>
      </c>
      <c r="D136" s="90" t="s">
        <v>50</v>
      </c>
      <c r="E136" s="90" t="s">
        <v>43</v>
      </c>
      <c r="F136" s="91"/>
      <c r="G136" s="90" t="s">
        <v>42</v>
      </c>
      <c r="H136" s="90" t="s">
        <v>56</v>
      </c>
      <c r="I136" s="90" t="s">
        <v>70</v>
      </c>
      <c r="J136" s="92" t="s">
        <v>45</v>
      </c>
      <c r="K136" s="108"/>
      <c r="L136" s="89" t="s">
        <v>59</v>
      </c>
      <c r="M136" s="90" t="s">
        <v>49</v>
      </c>
      <c r="N136" s="90" t="s">
        <v>47</v>
      </c>
      <c r="O136" s="91"/>
      <c r="P136" s="90" t="s">
        <v>51</v>
      </c>
      <c r="Q136" s="90" t="s">
        <v>65</v>
      </c>
      <c r="R136" s="92" t="s">
        <v>58</v>
      </c>
      <c r="S136" s="108"/>
      <c r="T136" s="242" t="s">
        <v>43</v>
      </c>
      <c r="U136" s="243"/>
      <c r="V136" s="244" t="s">
        <v>56</v>
      </c>
      <c r="W136" s="245"/>
      <c r="X136" s="242" t="s">
        <v>53</v>
      </c>
      <c r="Y136" s="246"/>
      <c r="Z136" s="245"/>
      <c r="AA136" s="94"/>
      <c r="AB136" s="87"/>
      <c r="AC136" s="87"/>
      <c r="AD136" s="116"/>
      <c r="AE136" s="171">
        <f>SUM(B137,C137,D137,E137,G137,H137,I137,J137,L137,M137,N137,P137,Q137,R137,T137,V137,X137)</f>
        <v>8</v>
      </c>
      <c r="AF136" s="192"/>
      <c r="AG136" s="171">
        <f>Z110</f>
        <v>11</v>
      </c>
      <c r="AH136" s="172"/>
      <c r="AI136" s="135">
        <f>SUM(AE136,AG136)</f>
        <v>19</v>
      </c>
      <c r="AJ136" s="136"/>
      <c r="AK136" s="137"/>
      <c r="AL136" s="87"/>
      <c r="AM136" s="141">
        <f>SUM(AC137,AI136)</f>
        <v>19</v>
      </c>
      <c r="AN136" s="141"/>
      <c r="AO136" s="141"/>
      <c r="AP136" s="141"/>
      <c r="AQ136" s="87"/>
      <c r="AR136" s="87"/>
      <c r="AS136" s="87"/>
      <c r="AT136" s="87"/>
      <c r="AU136" s="87"/>
      <c r="AV136" s="87"/>
      <c r="AW136" s="87"/>
      <c r="AX136" s="87"/>
      <c r="AY136" s="87"/>
      <c r="AZ136" s="87"/>
    </row>
    <row r="137" spans="1:52" ht="13.5" customHeight="1" thickBot="1" x14ac:dyDescent="0.3">
      <c r="A137" s="110"/>
      <c r="B137" s="89" t="s">
        <v>129</v>
      </c>
      <c r="C137" s="90" t="s">
        <v>129</v>
      </c>
      <c r="D137" s="90" t="s">
        <v>129</v>
      </c>
      <c r="E137" s="90" t="s">
        <v>129</v>
      </c>
      <c r="F137" s="113"/>
      <c r="G137" s="90">
        <v>2</v>
      </c>
      <c r="H137" s="90" t="s">
        <v>129</v>
      </c>
      <c r="I137" s="90" t="s">
        <v>129</v>
      </c>
      <c r="J137" s="92" t="s">
        <v>129</v>
      </c>
      <c r="K137" s="97">
        <v>0</v>
      </c>
      <c r="L137" s="89">
        <v>3</v>
      </c>
      <c r="M137" s="90" t="s">
        <v>129</v>
      </c>
      <c r="N137" s="90" t="s">
        <v>129</v>
      </c>
      <c r="O137" s="98">
        <v>0</v>
      </c>
      <c r="P137" s="90" t="s">
        <v>129</v>
      </c>
      <c r="Q137" s="90">
        <v>3</v>
      </c>
      <c r="R137" s="92" t="s">
        <v>129</v>
      </c>
      <c r="S137" s="97">
        <v>0</v>
      </c>
      <c r="T137" s="182" t="s">
        <v>129</v>
      </c>
      <c r="U137" s="183"/>
      <c r="V137" s="184" t="s">
        <v>129</v>
      </c>
      <c r="W137" s="185"/>
      <c r="X137" s="182" t="s">
        <v>129</v>
      </c>
      <c r="Y137" s="186"/>
      <c r="Z137" s="185"/>
      <c r="AA137" s="99">
        <v>0</v>
      </c>
      <c r="AB137" s="87">
        <f>SUM(K137,O137,S137,AA137)</f>
        <v>0</v>
      </c>
      <c r="AC137" s="87">
        <f>SUM(AB111,AB137)</f>
        <v>0</v>
      </c>
      <c r="AD137" s="108"/>
      <c r="AE137" s="173"/>
      <c r="AF137" s="193"/>
      <c r="AG137" s="173"/>
      <c r="AH137" s="140"/>
      <c r="AI137" s="138"/>
      <c r="AJ137" s="139"/>
      <c r="AK137" s="140"/>
      <c r="AL137" s="87"/>
      <c r="AM137" s="141"/>
      <c r="AN137" s="141"/>
      <c r="AO137" s="141"/>
      <c r="AP137" s="141"/>
      <c r="AQ137" s="87"/>
      <c r="AR137" s="87"/>
      <c r="AS137" s="87"/>
      <c r="AT137" s="87"/>
      <c r="AU137" s="87"/>
      <c r="AV137" s="87"/>
      <c r="AW137" s="87"/>
      <c r="AX137" s="87"/>
      <c r="AY137" s="87"/>
      <c r="AZ137" s="87"/>
    </row>
    <row r="138" spans="1:52" ht="13.5" customHeight="1" x14ac:dyDescent="0.25">
      <c r="A138" s="111" t="s">
        <v>24</v>
      </c>
      <c r="B138" s="112" t="s">
        <v>53</v>
      </c>
      <c r="C138" s="113" t="s">
        <v>46</v>
      </c>
      <c r="D138" s="113" t="s">
        <v>50</v>
      </c>
      <c r="E138" s="113" t="s">
        <v>59</v>
      </c>
      <c r="F138" s="91"/>
      <c r="G138" s="113" t="s">
        <v>42</v>
      </c>
      <c r="H138" s="113" t="s">
        <v>67</v>
      </c>
      <c r="I138" s="113" t="s">
        <v>72</v>
      </c>
      <c r="J138" s="114" t="s">
        <v>65</v>
      </c>
      <c r="K138" s="93"/>
      <c r="L138" s="112" t="s">
        <v>43</v>
      </c>
      <c r="M138" s="113" t="s">
        <v>49</v>
      </c>
      <c r="N138" s="113" t="s">
        <v>47</v>
      </c>
      <c r="O138" s="91"/>
      <c r="P138" s="113" t="s">
        <v>56</v>
      </c>
      <c r="Q138" s="113" t="s">
        <v>51</v>
      </c>
      <c r="R138" s="114" t="s">
        <v>45</v>
      </c>
      <c r="S138" s="93"/>
      <c r="T138" s="187" t="s">
        <v>46</v>
      </c>
      <c r="U138" s="188"/>
      <c r="V138" s="189" t="s">
        <v>42</v>
      </c>
      <c r="W138" s="190"/>
      <c r="X138" s="187" t="s">
        <v>46</v>
      </c>
      <c r="Y138" s="191"/>
      <c r="Z138" s="190"/>
      <c r="AA138" s="108"/>
      <c r="AB138" s="87"/>
      <c r="AC138" s="87"/>
      <c r="AD138" s="108"/>
      <c r="AE138" s="194">
        <f>SUM(B139,C139,D139,E139,G139,H139,I139,J139,L139,M139,N139,P139,Q139,R139,T139,V139,X139)</f>
        <v>5</v>
      </c>
      <c r="AF138" s="195"/>
      <c r="AG138" s="171">
        <f>Z112</f>
        <v>14</v>
      </c>
      <c r="AH138" s="172"/>
      <c r="AI138" s="135">
        <f t="shared" ref="AI138" si="83">SUM(AE138,AG138)</f>
        <v>19</v>
      </c>
      <c r="AJ138" s="136"/>
      <c r="AK138" s="137"/>
      <c r="AL138" s="87"/>
      <c r="AM138" s="141">
        <f>SUM(AC139,AI138)</f>
        <v>19</v>
      </c>
      <c r="AN138" s="141"/>
      <c r="AO138" s="141"/>
      <c r="AP138" s="141"/>
      <c r="AQ138" s="87"/>
      <c r="AR138" s="120" t="s">
        <v>177</v>
      </c>
      <c r="AS138" s="120"/>
      <c r="AT138" s="120"/>
      <c r="AU138" s="120"/>
      <c r="AV138" s="120"/>
      <c r="AW138" s="120"/>
      <c r="AX138" s="120"/>
      <c r="AY138" s="120"/>
      <c r="AZ138" s="120"/>
    </row>
    <row r="139" spans="1:52" ht="13.5" customHeight="1" thickBot="1" x14ac:dyDescent="0.3">
      <c r="A139" s="96"/>
      <c r="B139" s="89" t="s">
        <v>129</v>
      </c>
      <c r="C139" s="90" t="s">
        <v>129</v>
      </c>
      <c r="D139" s="90" t="s">
        <v>129</v>
      </c>
      <c r="E139" s="90" t="s">
        <v>129</v>
      </c>
      <c r="F139" s="91"/>
      <c r="G139" s="90">
        <v>2</v>
      </c>
      <c r="H139" s="90" t="s">
        <v>129</v>
      </c>
      <c r="I139" s="90" t="s">
        <v>129</v>
      </c>
      <c r="J139" s="92" t="s">
        <v>129</v>
      </c>
      <c r="K139" s="97">
        <v>0</v>
      </c>
      <c r="L139" s="89" t="s">
        <v>129</v>
      </c>
      <c r="M139" s="90" t="s">
        <v>129</v>
      </c>
      <c r="N139" s="90" t="s">
        <v>129</v>
      </c>
      <c r="O139" s="98">
        <v>0</v>
      </c>
      <c r="P139" s="90" t="s">
        <v>129</v>
      </c>
      <c r="Q139" s="90" t="s">
        <v>129</v>
      </c>
      <c r="R139" s="92">
        <v>3</v>
      </c>
      <c r="S139" s="97">
        <v>0</v>
      </c>
      <c r="T139" s="182" t="s">
        <v>129</v>
      </c>
      <c r="U139" s="183"/>
      <c r="V139" s="184" t="s">
        <v>129</v>
      </c>
      <c r="W139" s="185"/>
      <c r="X139" s="182" t="s">
        <v>129</v>
      </c>
      <c r="Y139" s="186"/>
      <c r="Z139" s="185"/>
      <c r="AA139" s="99">
        <v>0</v>
      </c>
      <c r="AB139" s="87">
        <f>SUM(K139,O139,S139,AA139)</f>
        <v>0</v>
      </c>
      <c r="AC139" s="87">
        <f>SUM(AB113,AB139)</f>
        <v>0</v>
      </c>
      <c r="AD139" s="108"/>
      <c r="AE139" s="173"/>
      <c r="AF139" s="193"/>
      <c r="AG139" s="173"/>
      <c r="AH139" s="140"/>
      <c r="AI139" s="138"/>
      <c r="AJ139" s="139"/>
      <c r="AK139" s="140"/>
      <c r="AL139" s="87"/>
      <c r="AM139" s="141"/>
      <c r="AN139" s="141"/>
      <c r="AO139" s="141"/>
      <c r="AP139" s="141"/>
      <c r="AQ139" s="87"/>
      <c r="AR139" s="120"/>
      <c r="AS139" s="120"/>
      <c r="AT139" s="120"/>
      <c r="AU139" s="120"/>
      <c r="AV139" s="120"/>
      <c r="AW139" s="120"/>
      <c r="AX139" s="120"/>
      <c r="AY139" s="120"/>
      <c r="AZ139" s="120"/>
    </row>
    <row r="140" spans="1:52" ht="13.5" customHeight="1" x14ac:dyDescent="0.25">
      <c r="A140" s="109" t="s">
        <v>25</v>
      </c>
      <c r="B140" s="89" t="s">
        <v>53</v>
      </c>
      <c r="C140" s="90" t="s">
        <v>46</v>
      </c>
      <c r="D140" s="90" t="s">
        <v>50</v>
      </c>
      <c r="E140" s="90" t="s">
        <v>47</v>
      </c>
      <c r="F140" s="91"/>
      <c r="G140" s="90" t="s">
        <v>42</v>
      </c>
      <c r="H140" s="90" t="s">
        <v>67</v>
      </c>
      <c r="I140" s="90" t="s">
        <v>51</v>
      </c>
      <c r="J140" s="92" t="s">
        <v>45</v>
      </c>
      <c r="K140" s="93"/>
      <c r="L140" s="89" t="s">
        <v>43</v>
      </c>
      <c r="M140" s="90" t="s">
        <v>59</v>
      </c>
      <c r="N140" s="90" t="s">
        <v>75</v>
      </c>
      <c r="O140" s="91"/>
      <c r="P140" s="90" t="s">
        <v>56</v>
      </c>
      <c r="Q140" s="90" t="s">
        <v>65</v>
      </c>
      <c r="R140" s="92" t="s">
        <v>63</v>
      </c>
      <c r="S140" s="93"/>
      <c r="T140" s="187" t="s">
        <v>53</v>
      </c>
      <c r="U140" s="188"/>
      <c r="V140" s="189" t="s">
        <v>56</v>
      </c>
      <c r="W140" s="190"/>
      <c r="X140" s="187" t="s">
        <v>53</v>
      </c>
      <c r="Y140" s="191"/>
      <c r="Z140" s="190"/>
      <c r="AA140" s="94"/>
      <c r="AB140" s="87"/>
      <c r="AC140" s="87"/>
      <c r="AD140" s="95"/>
      <c r="AE140" s="171">
        <f t="shared" ref="AE140" si="84">SUM(B141,C141,D141,E141,G141,H141,I141,J141,L141,M141,N141,P141,Q141,R141,T141,V141,X141)</f>
        <v>10</v>
      </c>
      <c r="AF140" s="192"/>
      <c r="AG140" s="171">
        <f t="shared" ref="AG140" si="85">Z114</f>
        <v>10</v>
      </c>
      <c r="AH140" s="172"/>
      <c r="AI140" s="135">
        <f t="shared" ref="AI140" si="86">SUM(AE140,AG140)</f>
        <v>20</v>
      </c>
      <c r="AJ140" s="136"/>
      <c r="AK140" s="137"/>
      <c r="AL140" s="87"/>
      <c r="AM140" s="141">
        <f t="shared" ref="AM140" si="87">SUM(AC141,AI140)</f>
        <v>20</v>
      </c>
      <c r="AN140" s="141"/>
      <c r="AO140" s="141"/>
      <c r="AP140" s="141"/>
      <c r="AQ140" s="87"/>
      <c r="AR140" s="120"/>
      <c r="AS140" s="120"/>
      <c r="AT140" s="120"/>
      <c r="AU140" s="120"/>
      <c r="AV140" s="120"/>
      <c r="AW140" s="120"/>
      <c r="AX140" s="120"/>
      <c r="AY140" s="120"/>
      <c r="AZ140" s="120"/>
    </row>
    <row r="141" spans="1:52" ht="13.5" customHeight="1" thickBot="1" x14ac:dyDescent="0.3">
      <c r="A141" s="110"/>
      <c r="B141" s="89" t="s">
        <v>129</v>
      </c>
      <c r="C141" s="90" t="s">
        <v>129</v>
      </c>
      <c r="D141" s="90" t="s">
        <v>129</v>
      </c>
      <c r="E141" s="90">
        <v>2</v>
      </c>
      <c r="F141" s="91"/>
      <c r="G141" s="90">
        <v>2</v>
      </c>
      <c r="H141" s="90" t="s">
        <v>129</v>
      </c>
      <c r="I141" s="90" t="s">
        <v>129</v>
      </c>
      <c r="J141" s="92" t="s">
        <v>129</v>
      </c>
      <c r="K141" s="97">
        <v>0</v>
      </c>
      <c r="L141" s="89" t="s">
        <v>129</v>
      </c>
      <c r="M141" s="90">
        <v>3</v>
      </c>
      <c r="N141" s="90" t="s">
        <v>129</v>
      </c>
      <c r="O141" s="98">
        <v>0</v>
      </c>
      <c r="P141" s="90" t="s">
        <v>129</v>
      </c>
      <c r="Q141" s="90">
        <v>3</v>
      </c>
      <c r="R141" s="92" t="s">
        <v>129</v>
      </c>
      <c r="S141" s="97">
        <v>0</v>
      </c>
      <c r="T141" s="182" t="s">
        <v>129</v>
      </c>
      <c r="U141" s="183"/>
      <c r="V141" s="184" t="s">
        <v>129</v>
      </c>
      <c r="W141" s="185"/>
      <c r="X141" s="182" t="s">
        <v>129</v>
      </c>
      <c r="Y141" s="186"/>
      <c r="Z141" s="185"/>
      <c r="AA141" s="99">
        <v>0</v>
      </c>
      <c r="AB141" s="87">
        <f>SUM(K141,O141,S141,AA141)</f>
        <v>0</v>
      </c>
      <c r="AC141" s="87">
        <f>SUM(AB115,AB141)</f>
        <v>0</v>
      </c>
      <c r="AD141" s="95"/>
      <c r="AE141" s="173"/>
      <c r="AF141" s="193"/>
      <c r="AG141" s="173"/>
      <c r="AH141" s="140"/>
      <c r="AI141" s="138"/>
      <c r="AJ141" s="139"/>
      <c r="AK141" s="140"/>
      <c r="AL141" s="87"/>
      <c r="AM141" s="141"/>
      <c r="AN141" s="141"/>
      <c r="AO141" s="141"/>
      <c r="AP141" s="141"/>
      <c r="AQ141" s="87"/>
      <c r="AR141" s="120"/>
      <c r="AS141" s="120"/>
      <c r="AT141" s="120"/>
      <c r="AU141" s="120"/>
      <c r="AV141" s="120"/>
      <c r="AW141" s="120"/>
      <c r="AX141" s="120"/>
      <c r="AY141" s="120"/>
      <c r="AZ141" s="120"/>
    </row>
    <row r="142" spans="1:52" ht="13.5" customHeight="1" x14ac:dyDescent="0.25">
      <c r="A142" s="88" t="s">
        <v>26</v>
      </c>
      <c r="B142" s="89" t="s">
        <v>53</v>
      </c>
      <c r="C142" s="90" t="s">
        <v>46</v>
      </c>
      <c r="D142" s="90" t="s">
        <v>50</v>
      </c>
      <c r="E142" s="90" t="s">
        <v>43</v>
      </c>
      <c r="F142" s="91"/>
      <c r="G142" s="90" t="s">
        <v>63</v>
      </c>
      <c r="H142" s="90" t="s">
        <v>56</v>
      </c>
      <c r="I142" s="90" t="s">
        <v>72</v>
      </c>
      <c r="J142" s="92" t="s">
        <v>45</v>
      </c>
      <c r="K142" s="93"/>
      <c r="L142" s="89" t="s">
        <v>75</v>
      </c>
      <c r="M142" s="90" t="s">
        <v>47</v>
      </c>
      <c r="N142" s="90" t="s">
        <v>71</v>
      </c>
      <c r="O142" s="91"/>
      <c r="P142" s="90" t="s">
        <v>42</v>
      </c>
      <c r="Q142" s="90" t="s">
        <v>67</v>
      </c>
      <c r="R142" s="92" t="s">
        <v>65</v>
      </c>
      <c r="S142" s="93"/>
      <c r="T142" s="187" t="s">
        <v>46</v>
      </c>
      <c r="U142" s="188"/>
      <c r="V142" s="189" t="s">
        <v>56</v>
      </c>
      <c r="W142" s="190"/>
      <c r="X142" s="187" t="s">
        <v>46</v>
      </c>
      <c r="Y142" s="191"/>
      <c r="Z142" s="190"/>
      <c r="AA142" s="94"/>
      <c r="AB142" s="87"/>
      <c r="AC142" s="87"/>
      <c r="AD142" s="95"/>
      <c r="AE142" s="194">
        <f t="shared" ref="AE142" si="88">SUM(B143,C143,D143,E143,G143,H143,I143,J143,L143,M143,N143,P143,Q143,R143,T143,V143,X143)</f>
        <v>6</v>
      </c>
      <c r="AF142" s="195"/>
      <c r="AG142" s="171">
        <f t="shared" ref="AG142" si="89">Z116</f>
        <v>10</v>
      </c>
      <c r="AH142" s="172"/>
      <c r="AI142" s="135">
        <f t="shared" ref="AI142" si="90">SUM(AE142,AG142)</f>
        <v>16</v>
      </c>
      <c r="AJ142" s="136"/>
      <c r="AK142" s="137"/>
      <c r="AL142" s="87"/>
      <c r="AM142" s="141">
        <f t="shared" ref="AM142" si="91">SUM(AC143,AI142)</f>
        <v>16</v>
      </c>
      <c r="AN142" s="141"/>
      <c r="AO142" s="141"/>
      <c r="AP142" s="141"/>
      <c r="AQ142" s="87"/>
      <c r="AR142" s="120" t="s">
        <v>176</v>
      </c>
      <c r="AS142" s="120"/>
      <c r="AT142" s="120"/>
      <c r="AU142" s="120"/>
      <c r="AV142" s="120"/>
      <c r="AW142" s="120"/>
      <c r="AX142" s="120"/>
      <c r="AY142" s="120"/>
      <c r="AZ142" s="120"/>
    </row>
    <row r="143" spans="1:52" ht="13.5" customHeight="1" thickBot="1" x14ac:dyDescent="0.3">
      <c r="A143" s="96"/>
      <c r="B143" s="89" t="s">
        <v>129</v>
      </c>
      <c r="C143" s="90" t="s">
        <v>129</v>
      </c>
      <c r="D143" s="90" t="s">
        <v>129</v>
      </c>
      <c r="E143" s="90" t="s">
        <v>129</v>
      </c>
      <c r="F143" s="91"/>
      <c r="G143" s="90" t="s">
        <v>129</v>
      </c>
      <c r="H143" s="90" t="s">
        <v>129</v>
      </c>
      <c r="I143" s="90" t="s">
        <v>129</v>
      </c>
      <c r="J143" s="92" t="s">
        <v>129</v>
      </c>
      <c r="K143" s="97">
        <v>0</v>
      </c>
      <c r="L143" s="89" t="s">
        <v>129</v>
      </c>
      <c r="M143" s="90" t="s">
        <v>129</v>
      </c>
      <c r="N143" s="90" t="s">
        <v>129</v>
      </c>
      <c r="O143" s="98">
        <v>0</v>
      </c>
      <c r="P143" s="90" t="s">
        <v>129</v>
      </c>
      <c r="Q143" s="90">
        <v>3</v>
      </c>
      <c r="R143" s="92">
        <v>3</v>
      </c>
      <c r="S143" s="97">
        <v>0</v>
      </c>
      <c r="T143" s="182" t="s">
        <v>129</v>
      </c>
      <c r="U143" s="183"/>
      <c r="V143" s="184" t="s">
        <v>129</v>
      </c>
      <c r="W143" s="185"/>
      <c r="X143" s="182" t="s">
        <v>129</v>
      </c>
      <c r="Y143" s="186"/>
      <c r="Z143" s="185"/>
      <c r="AA143" s="99">
        <v>0</v>
      </c>
      <c r="AB143" s="87">
        <f>SUM(K143,O143,S143,AA143)</f>
        <v>0</v>
      </c>
      <c r="AC143" s="87">
        <f>SUM(AB117,AB143)</f>
        <v>0</v>
      </c>
      <c r="AD143" s="95"/>
      <c r="AE143" s="173"/>
      <c r="AF143" s="193"/>
      <c r="AG143" s="173"/>
      <c r="AH143" s="140"/>
      <c r="AI143" s="138"/>
      <c r="AJ143" s="139"/>
      <c r="AK143" s="140"/>
      <c r="AL143" s="87"/>
      <c r="AM143" s="141"/>
      <c r="AN143" s="141"/>
      <c r="AO143" s="141"/>
      <c r="AP143" s="141"/>
      <c r="AQ143" s="87"/>
      <c r="AR143" s="120"/>
      <c r="AS143" s="120"/>
      <c r="AT143" s="120"/>
      <c r="AU143" s="120"/>
      <c r="AV143" s="120"/>
      <c r="AW143" s="120"/>
      <c r="AX143" s="120"/>
      <c r="AY143" s="120"/>
      <c r="AZ143" s="120"/>
    </row>
    <row r="144" spans="1:52" ht="13.5" customHeight="1" x14ac:dyDescent="0.25">
      <c r="A144" s="109" t="s">
        <v>27</v>
      </c>
      <c r="B144" s="89" t="s">
        <v>71</v>
      </c>
      <c r="C144" s="90" t="s">
        <v>46</v>
      </c>
      <c r="D144" s="90" t="s">
        <v>50</v>
      </c>
      <c r="E144" s="90" t="s">
        <v>43</v>
      </c>
      <c r="F144" s="91"/>
      <c r="G144" s="90" t="s">
        <v>42</v>
      </c>
      <c r="H144" s="90" t="s">
        <v>44</v>
      </c>
      <c r="I144" s="90" t="s">
        <v>51</v>
      </c>
      <c r="J144" s="92" t="s">
        <v>58</v>
      </c>
      <c r="K144" s="93"/>
      <c r="L144" s="89" t="s">
        <v>53</v>
      </c>
      <c r="M144" s="90" t="s">
        <v>64</v>
      </c>
      <c r="N144" s="90" t="s">
        <v>47</v>
      </c>
      <c r="O144" s="91"/>
      <c r="P144" s="90" t="s">
        <v>57</v>
      </c>
      <c r="Q144" s="90" t="s">
        <v>45</v>
      </c>
      <c r="R144" s="92" t="s">
        <v>67</v>
      </c>
      <c r="S144" s="93"/>
      <c r="T144" s="187" t="s">
        <v>43</v>
      </c>
      <c r="U144" s="188"/>
      <c r="V144" s="189" t="s">
        <v>42</v>
      </c>
      <c r="W144" s="190"/>
      <c r="X144" s="187" t="s">
        <v>43</v>
      </c>
      <c r="Y144" s="191"/>
      <c r="Z144" s="190"/>
      <c r="AA144" s="94"/>
      <c r="AB144" s="87"/>
      <c r="AC144" s="87"/>
      <c r="AD144" s="95"/>
      <c r="AE144" s="171">
        <f t="shared" ref="AE144" si="92">SUM(B145,C145,D145,E145,G145,H145,I145,J145,L145,M145,N145,P145,Q145,R145,T145,V145,X145)</f>
        <v>13</v>
      </c>
      <c r="AF144" s="192"/>
      <c r="AG144" s="171">
        <f t="shared" ref="AG144" si="93">Z118</f>
        <v>13</v>
      </c>
      <c r="AH144" s="172"/>
      <c r="AI144" s="135">
        <f t="shared" ref="AI144" si="94">SUM(AE144,AG144)</f>
        <v>26</v>
      </c>
      <c r="AJ144" s="136"/>
      <c r="AK144" s="137"/>
      <c r="AL144" s="87"/>
      <c r="AM144" s="141">
        <f t="shared" ref="AM144" si="95">SUM(AC145,AI144)</f>
        <v>26</v>
      </c>
      <c r="AN144" s="141"/>
      <c r="AO144" s="141"/>
      <c r="AP144" s="141"/>
      <c r="AQ144" s="87"/>
      <c r="AR144" s="199" t="s">
        <v>178</v>
      </c>
      <c r="AS144" s="199"/>
      <c r="AT144" s="199"/>
      <c r="AU144" s="199"/>
      <c r="AV144" s="199"/>
      <c r="AW144" s="199"/>
      <c r="AX144" s="199"/>
      <c r="AY144" s="199"/>
      <c r="AZ144" s="199"/>
    </row>
    <row r="145" spans="1:52" ht="13.5" customHeight="1" thickBot="1" x14ac:dyDescent="0.3">
      <c r="A145" s="110"/>
      <c r="B145" s="89" t="s">
        <v>129</v>
      </c>
      <c r="C145" s="90" t="s">
        <v>129</v>
      </c>
      <c r="D145" s="90" t="s">
        <v>129</v>
      </c>
      <c r="E145" s="90" t="s">
        <v>129</v>
      </c>
      <c r="F145" s="91"/>
      <c r="G145" s="90">
        <v>2</v>
      </c>
      <c r="H145" s="90" t="s">
        <v>129</v>
      </c>
      <c r="I145" s="90" t="s">
        <v>129</v>
      </c>
      <c r="J145" s="92">
        <v>2</v>
      </c>
      <c r="K145" s="97">
        <v>0</v>
      </c>
      <c r="L145" s="89">
        <v>3</v>
      </c>
      <c r="M145" s="90" t="s">
        <v>129</v>
      </c>
      <c r="N145" s="90" t="s">
        <v>129</v>
      </c>
      <c r="O145" s="98">
        <v>0</v>
      </c>
      <c r="P145" s="90" t="s">
        <v>129</v>
      </c>
      <c r="Q145" s="90">
        <v>3</v>
      </c>
      <c r="R145" s="92">
        <v>3</v>
      </c>
      <c r="S145" s="97">
        <v>0</v>
      </c>
      <c r="T145" s="182" t="s">
        <v>129</v>
      </c>
      <c r="U145" s="183"/>
      <c r="V145" s="184" t="s">
        <v>129</v>
      </c>
      <c r="W145" s="185"/>
      <c r="X145" s="182" t="s">
        <v>129</v>
      </c>
      <c r="Y145" s="186"/>
      <c r="Z145" s="185"/>
      <c r="AA145" s="99">
        <v>0</v>
      </c>
      <c r="AB145" s="87">
        <f t="shared" ref="AB145" si="96">SUM(K145,O145,S145,AA145)</f>
        <v>0</v>
      </c>
      <c r="AC145" s="87">
        <f>SUM(AB119,AB145)</f>
        <v>0</v>
      </c>
      <c r="AD145" s="95"/>
      <c r="AE145" s="173"/>
      <c r="AF145" s="193"/>
      <c r="AG145" s="173"/>
      <c r="AH145" s="140"/>
      <c r="AI145" s="138"/>
      <c r="AJ145" s="139"/>
      <c r="AK145" s="140"/>
      <c r="AL145" s="87"/>
      <c r="AM145" s="141"/>
      <c r="AN145" s="141"/>
      <c r="AO145" s="141"/>
      <c r="AP145" s="141"/>
      <c r="AQ145" s="87"/>
      <c r="AR145" s="199"/>
      <c r="AS145" s="199"/>
      <c r="AT145" s="199"/>
      <c r="AU145" s="199"/>
      <c r="AV145" s="199"/>
      <c r="AW145" s="199"/>
      <c r="AX145" s="199"/>
      <c r="AY145" s="199"/>
      <c r="AZ145" s="199"/>
    </row>
    <row r="146" spans="1:52" ht="13.5" customHeight="1" x14ac:dyDescent="0.25">
      <c r="A146" s="174" t="s">
        <v>28</v>
      </c>
      <c r="B146" s="89" t="s">
        <v>53</v>
      </c>
      <c r="C146" s="90" t="s">
        <v>46</v>
      </c>
      <c r="D146" s="90" t="s">
        <v>50</v>
      </c>
      <c r="E146" s="90" t="s">
        <v>43</v>
      </c>
      <c r="F146" s="91"/>
      <c r="G146" s="90" t="s">
        <v>42</v>
      </c>
      <c r="H146" s="90" t="s">
        <v>56</v>
      </c>
      <c r="I146" s="90" t="s">
        <v>51</v>
      </c>
      <c r="J146" s="92" t="s">
        <v>58</v>
      </c>
      <c r="K146" s="93"/>
      <c r="L146" s="89" t="s">
        <v>71</v>
      </c>
      <c r="M146" s="90" t="s">
        <v>47</v>
      </c>
      <c r="N146" s="90" t="s">
        <v>48</v>
      </c>
      <c r="O146" s="91"/>
      <c r="P146" s="90" t="s">
        <v>44</v>
      </c>
      <c r="Q146" s="90" t="s">
        <v>45</v>
      </c>
      <c r="R146" s="92" t="s">
        <v>57</v>
      </c>
      <c r="S146" s="93"/>
      <c r="T146" s="187" t="s">
        <v>43</v>
      </c>
      <c r="U146" s="188"/>
      <c r="V146" s="189" t="s">
        <v>42</v>
      </c>
      <c r="W146" s="190"/>
      <c r="X146" s="187" t="s">
        <v>43</v>
      </c>
      <c r="Y146" s="191"/>
      <c r="Z146" s="190"/>
      <c r="AA146" s="94"/>
      <c r="AB146" s="87"/>
      <c r="AC146" s="87"/>
      <c r="AD146" s="95"/>
      <c r="AE146" s="194">
        <f t="shared" ref="AE146" si="97">SUM(B147,C147,D147,E147,G147,H147,I147,J147,L147,M147,N147,P147,Q147,R147,T147,V147,X147)</f>
        <v>7</v>
      </c>
      <c r="AF146" s="195"/>
      <c r="AG146" s="171">
        <f t="shared" ref="AG146" si="98">Z120</f>
        <v>13</v>
      </c>
      <c r="AH146" s="172"/>
      <c r="AI146" s="135">
        <f t="shared" ref="AI146" si="99">SUM(AE146,AG146)</f>
        <v>20</v>
      </c>
      <c r="AJ146" s="136"/>
      <c r="AK146" s="137"/>
      <c r="AL146" s="87"/>
      <c r="AM146" s="141">
        <f>SUM(AC147,AI146)</f>
        <v>20</v>
      </c>
      <c r="AN146" s="141"/>
      <c r="AO146" s="141"/>
      <c r="AP146" s="141"/>
      <c r="AQ146" s="87"/>
      <c r="AR146" s="120" t="s">
        <v>179</v>
      </c>
      <c r="AS146" s="120"/>
      <c r="AT146" s="120"/>
      <c r="AU146" s="120"/>
      <c r="AV146" s="120"/>
      <c r="AW146" s="120"/>
      <c r="AX146" s="120"/>
      <c r="AY146" s="120"/>
      <c r="AZ146" s="120"/>
    </row>
    <row r="147" spans="1:52" ht="13.5" customHeight="1" thickBot="1" x14ac:dyDescent="0.3">
      <c r="A147" s="175"/>
      <c r="B147" s="89" t="s">
        <v>129</v>
      </c>
      <c r="C147" s="90" t="s">
        <v>129</v>
      </c>
      <c r="D147" s="90" t="s">
        <v>129</v>
      </c>
      <c r="E147" s="90" t="s">
        <v>129</v>
      </c>
      <c r="F147" s="91"/>
      <c r="G147" s="90">
        <v>2</v>
      </c>
      <c r="H147" s="90" t="s">
        <v>129</v>
      </c>
      <c r="I147" s="90" t="s">
        <v>129</v>
      </c>
      <c r="J147" s="92">
        <v>2</v>
      </c>
      <c r="K147" s="97">
        <v>0</v>
      </c>
      <c r="L147" s="89" t="s">
        <v>129</v>
      </c>
      <c r="M147" s="90" t="s">
        <v>129</v>
      </c>
      <c r="N147" s="90" t="s">
        <v>129</v>
      </c>
      <c r="O147" s="98">
        <v>0</v>
      </c>
      <c r="P147" s="90" t="s">
        <v>129</v>
      </c>
      <c r="Q147" s="90">
        <v>3</v>
      </c>
      <c r="R147" s="92" t="s">
        <v>129</v>
      </c>
      <c r="S147" s="97">
        <v>0</v>
      </c>
      <c r="T147" s="182" t="s">
        <v>129</v>
      </c>
      <c r="U147" s="183"/>
      <c r="V147" s="184" t="s">
        <v>129</v>
      </c>
      <c r="W147" s="185"/>
      <c r="X147" s="182" t="s">
        <v>129</v>
      </c>
      <c r="Y147" s="186"/>
      <c r="Z147" s="185"/>
      <c r="AA147" s="99">
        <v>0</v>
      </c>
      <c r="AB147" s="87">
        <f t="shared" ref="AB147" si="100">SUM(K147,O147,S147,AA147)</f>
        <v>0</v>
      </c>
      <c r="AC147" s="87">
        <f>SUM(AB121,AB147)</f>
        <v>0</v>
      </c>
      <c r="AD147" s="95"/>
      <c r="AE147" s="173"/>
      <c r="AF147" s="193"/>
      <c r="AG147" s="173"/>
      <c r="AH147" s="140"/>
      <c r="AI147" s="138"/>
      <c r="AJ147" s="139"/>
      <c r="AK147" s="140"/>
      <c r="AL147" s="87"/>
      <c r="AM147" s="141"/>
      <c r="AN147" s="141"/>
      <c r="AO147" s="141"/>
      <c r="AP147" s="141"/>
      <c r="AQ147" s="87"/>
      <c r="AR147" s="120"/>
      <c r="AS147" s="120"/>
      <c r="AT147" s="120"/>
      <c r="AU147" s="120"/>
      <c r="AV147" s="120"/>
      <c r="AW147" s="120"/>
      <c r="AX147" s="120"/>
      <c r="AY147" s="120"/>
      <c r="AZ147" s="120"/>
    </row>
    <row r="148" spans="1:52" ht="13.5" customHeight="1" x14ac:dyDescent="0.25">
      <c r="A148" s="197" t="s">
        <v>29</v>
      </c>
      <c r="B148" s="89" t="s">
        <v>53</v>
      </c>
      <c r="C148" s="90" t="s">
        <v>75</v>
      </c>
      <c r="D148" s="90" t="s">
        <v>50</v>
      </c>
      <c r="E148" s="90" t="s">
        <v>43</v>
      </c>
      <c r="F148" s="91"/>
      <c r="G148" s="90" t="s">
        <v>42</v>
      </c>
      <c r="H148" s="90" t="s">
        <v>56</v>
      </c>
      <c r="I148" s="90" t="s">
        <v>72</v>
      </c>
      <c r="J148" s="92" t="s">
        <v>58</v>
      </c>
      <c r="K148" s="93"/>
      <c r="L148" s="89" t="s">
        <v>49</v>
      </c>
      <c r="M148" s="90" t="s">
        <v>64</v>
      </c>
      <c r="N148" s="90" t="s">
        <v>59</v>
      </c>
      <c r="O148" s="91"/>
      <c r="P148" s="90" t="s">
        <v>63</v>
      </c>
      <c r="Q148" s="90" t="s">
        <v>67</v>
      </c>
      <c r="R148" s="92" t="s">
        <v>45</v>
      </c>
      <c r="S148" s="93"/>
      <c r="T148" s="187" t="s">
        <v>53</v>
      </c>
      <c r="U148" s="188"/>
      <c r="V148" s="189" t="s">
        <v>42</v>
      </c>
      <c r="W148" s="190"/>
      <c r="X148" s="187" t="s">
        <v>53</v>
      </c>
      <c r="Y148" s="191"/>
      <c r="Z148" s="190"/>
      <c r="AA148" s="94"/>
      <c r="AB148" s="87"/>
      <c r="AC148" s="87"/>
      <c r="AD148" s="95"/>
      <c r="AE148" s="171">
        <f t="shared" ref="AE148" si="101">SUM(B149,C149,D149,E149,G149,H149,I149,J149,L149,M149,N149,P149,Q149,R149,T149,V149,X149)</f>
        <v>13</v>
      </c>
      <c r="AF148" s="192"/>
      <c r="AG148" s="171">
        <f t="shared" ref="AG148" si="102">Z122</f>
        <v>12</v>
      </c>
      <c r="AH148" s="172"/>
      <c r="AI148" s="135">
        <f t="shared" ref="AI148" si="103">SUM(AE148,AG148)</f>
        <v>25</v>
      </c>
      <c r="AJ148" s="136"/>
      <c r="AK148" s="137"/>
      <c r="AL148" s="87"/>
      <c r="AM148" s="141">
        <f t="shared" ref="AM148" si="104">SUM(AC149,AI148)</f>
        <v>25</v>
      </c>
      <c r="AN148" s="141"/>
      <c r="AO148" s="141"/>
      <c r="AP148" s="141"/>
      <c r="AQ148" s="87"/>
      <c r="AR148" s="120" t="s">
        <v>150</v>
      </c>
      <c r="AS148" s="120"/>
      <c r="AT148" s="120"/>
      <c r="AU148" s="120"/>
      <c r="AV148" s="120"/>
      <c r="AW148" s="120"/>
      <c r="AX148" s="120"/>
      <c r="AY148" s="120"/>
      <c r="AZ148" s="120"/>
    </row>
    <row r="149" spans="1:52" ht="13.5" customHeight="1" thickBot="1" x14ac:dyDescent="0.3">
      <c r="A149" s="198"/>
      <c r="B149" s="89" t="s">
        <v>129</v>
      </c>
      <c r="C149" s="90" t="s">
        <v>129</v>
      </c>
      <c r="D149" s="90" t="s">
        <v>129</v>
      </c>
      <c r="E149" s="90" t="s">
        <v>129</v>
      </c>
      <c r="F149" s="91"/>
      <c r="G149" s="90">
        <v>2</v>
      </c>
      <c r="H149" s="90" t="s">
        <v>129</v>
      </c>
      <c r="I149" s="90" t="s">
        <v>129</v>
      </c>
      <c r="J149" s="92">
        <v>2</v>
      </c>
      <c r="K149" s="97">
        <v>0</v>
      </c>
      <c r="L149" s="89" t="s">
        <v>129</v>
      </c>
      <c r="M149" s="90" t="s">
        <v>129</v>
      </c>
      <c r="N149" s="90">
        <v>3</v>
      </c>
      <c r="O149" s="98">
        <v>0</v>
      </c>
      <c r="P149" s="90" t="s">
        <v>129</v>
      </c>
      <c r="Q149" s="90">
        <v>3</v>
      </c>
      <c r="R149" s="92">
        <v>3</v>
      </c>
      <c r="S149" s="97">
        <v>0</v>
      </c>
      <c r="T149" s="182" t="s">
        <v>129</v>
      </c>
      <c r="U149" s="183"/>
      <c r="V149" s="184" t="s">
        <v>129</v>
      </c>
      <c r="W149" s="185"/>
      <c r="X149" s="182" t="s">
        <v>129</v>
      </c>
      <c r="Y149" s="186"/>
      <c r="Z149" s="185"/>
      <c r="AA149" s="99">
        <v>0</v>
      </c>
      <c r="AB149" s="87">
        <f t="shared" ref="AB149" si="105">SUM(K149,O149,S149,AA149)</f>
        <v>0</v>
      </c>
      <c r="AC149" s="87">
        <f>SUM(AB123,AB149)</f>
        <v>0</v>
      </c>
      <c r="AD149" s="95"/>
      <c r="AE149" s="173"/>
      <c r="AF149" s="193"/>
      <c r="AG149" s="173"/>
      <c r="AH149" s="140"/>
      <c r="AI149" s="138"/>
      <c r="AJ149" s="139"/>
      <c r="AK149" s="140"/>
      <c r="AL149" s="87"/>
      <c r="AM149" s="141"/>
      <c r="AN149" s="141"/>
      <c r="AO149" s="141"/>
      <c r="AP149" s="141"/>
      <c r="AQ149" s="87"/>
      <c r="AR149" s="120"/>
      <c r="AS149" s="120"/>
      <c r="AT149" s="120"/>
      <c r="AU149" s="120"/>
      <c r="AV149" s="120"/>
      <c r="AW149" s="120"/>
      <c r="AX149" s="120"/>
      <c r="AY149" s="120"/>
      <c r="AZ149" s="120"/>
    </row>
    <row r="150" spans="1:52" ht="13.5" customHeight="1" x14ac:dyDescent="0.25">
      <c r="A150" s="197" t="s">
        <v>30</v>
      </c>
      <c r="B150" s="89" t="s">
        <v>53</v>
      </c>
      <c r="C150" s="90" t="s">
        <v>46</v>
      </c>
      <c r="D150" s="90" t="s">
        <v>55</v>
      </c>
      <c r="E150" s="90" t="s">
        <v>47</v>
      </c>
      <c r="F150" s="91"/>
      <c r="G150" s="90" t="s">
        <v>42</v>
      </c>
      <c r="H150" s="90" t="s">
        <v>67</v>
      </c>
      <c r="I150" s="90" t="s">
        <v>72</v>
      </c>
      <c r="J150" s="92" t="s">
        <v>62</v>
      </c>
      <c r="K150" s="93"/>
      <c r="L150" s="89" t="s">
        <v>43</v>
      </c>
      <c r="M150" s="90" t="s">
        <v>61</v>
      </c>
      <c r="N150" s="90" t="s">
        <v>50</v>
      </c>
      <c r="O150" s="91"/>
      <c r="P150" s="90" t="s">
        <v>56</v>
      </c>
      <c r="Q150" s="90" t="s">
        <v>45</v>
      </c>
      <c r="R150" s="92" t="s">
        <v>51</v>
      </c>
      <c r="S150" s="93"/>
      <c r="T150" s="187" t="s">
        <v>46</v>
      </c>
      <c r="U150" s="188"/>
      <c r="V150" s="189" t="s">
        <v>42</v>
      </c>
      <c r="W150" s="190"/>
      <c r="X150" s="187" t="s">
        <v>46</v>
      </c>
      <c r="Y150" s="191"/>
      <c r="Z150" s="190"/>
      <c r="AA150" s="94"/>
      <c r="AB150" s="87"/>
      <c r="AC150" s="87"/>
      <c r="AD150" s="95"/>
      <c r="AE150" s="194">
        <f t="shared" ref="AE150" si="106">SUM(B151,C151,D151,E151,G151,H151,I151,J151,L151,M151,N151,P151,Q151,R151,T151,V151,X151)</f>
        <v>12</v>
      </c>
      <c r="AF150" s="195"/>
      <c r="AG150" s="171">
        <f t="shared" ref="AG150" si="107">Z124</f>
        <v>14</v>
      </c>
      <c r="AH150" s="172"/>
      <c r="AI150" s="135">
        <f>SUM(AE150,AG150)</f>
        <v>26</v>
      </c>
      <c r="AJ150" s="136"/>
      <c r="AK150" s="137"/>
      <c r="AL150" s="87"/>
      <c r="AM150" s="141">
        <f t="shared" ref="AM150" si="108">SUM(AC151,AI150)</f>
        <v>26</v>
      </c>
      <c r="AN150" s="141"/>
      <c r="AO150" s="141"/>
      <c r="AP150" s="141"/>
      <c r="AQ150" s="87"/>
      <c r="AR150" s="120" t="s">
        <v>178</v>
      </c>
      <c r="AS150" s="120"/>
      <c r="AT150" s="120"/>
      <c r="AU150" s="120"/>
      <c r="AV150" s="120"/>
      <c r="AW150" s="120"/>
      <c r="AX150" s="120"/>
      <c r="AY150" s="120"/>
      <c r="AZ150" s="120"/>
    </row>
    <row r="151" spans="1:52" ht="13.5" customHeight="1" thickBot="1" x14ac:dyDescent="0.3">
      <c r="A151" s="198"/>
      <c r="B151" s="89" t="s">
        <v>129</v>
      </c>
      <c r="C151" s="90" t="s">
        <v>129</v>
      </c>
      <c r="D151" s="90">
        <v>2</v>
      </c>
      <c r="E151" s="90">
        <v>2</v>
      </c>
      <c r="F151" s="91"/>
      <c r="G151" s="90">
        <v>2</v>
      </c>
      <c r="H151" s="90" t="s">
        <v>129</v>
      </c>
      <c r="I151" s="90" t="s">
        <v>129</v>
      </c>
      <c r="J151" s="92" t="s">
        <v>129</v>
      </c>
      <c r="K151" s="97">
        <v>0</v>
      </c>
      <c r="L151" s="89" t="s">
        <v>129</v>
      </c>
      <c r="M151" s="90" t="s">
        <v>129</v>
      </c>
      <c r="N151" s="90">
        <v>3</v>
      </c>
      <c r="O151" s="98">
        <v>0</v>
      </c>
      <c r="P151" s="90" t="s">
        <v>129</v>
      </c>
      <c r="Q151" s="90">
        <v>3</v>
      </c>
      <c r="R151" s="92" t="s">
        <v>129</v>
      </c>
      <c r="S151" s="97">
        <v>0</v>
      </c>
      <c r="T151" s="182" t="s">
        <v>129</v>
      </c>
      <c r="U151" s="183"/>
      <c r="V151" s="184" t="s">
        <v>129</v>
      </c>
      <c r="W151" s="185"/>
      <c r="X151" s="182" t="s">
        <v>129</v>
      </c>
      <c r="Y151" s="186"/>
      <c r="Z151" s="185"/>
      <c r="AA151" s="99">
        <v>0</v>
      </c>
      <c r="AB151" s="87">
        <f t="shared" ref="AB151" si="109">SUM(K151,O151,S151,AA151)</f>
        <v>0</v>
      </c>
      <c r="AC151" s="87">
        <f>SUM(AB125,AB151)</f>
        <v>0</v>
      </c>
      <c r="AD151" s="95"/>
      <c r="AE151" s="173"/>
      <c r="AF151" s="193"/>
      <c r="AG151" s="173"/>
      <c r="AH151" s="140"/>
      <c r="AI151" s="138"/>
      <c r="AJ151" s="139"/>
      <c r="AK151" s="140"/>
      <c r="AL151" s="87"/>
      <c r="AM151" s="141"/>
      <c r="AN151" s="141"/>
      <c r="AO151" s="141"/>
      <c r="AP151" s="141"/>
      <c r="AQ151" s="87"/>
      <c r="AR151" s="120"/>
      <c r="AS151" s="120"/>
      <c r="AT151" s="120"/>
      <c r="AU151" s="120"/>
      <c r="AV151" s="120"/>
      <c r="AW151" s="120"/>
      <c r="AX151" s="120"/>
      <c r="AY151" s="120"/>
      <c r="AZ151" s="120"/>
    </row>
    <row r="152" spans="1:52" ht="13.5" customHeight="1" x14ac:dyDescent="0.25">
      <c r="A152" s="174" t="s">
        <v>31</v>
      </c>
      <c r="B152" s="89" t="s">
        <v>71</v>
      </c>
      <c r="C152" s="90" t="s">
        <v>46</v>
      </c>
      <c r="D152" s="90" t="s">
        <v>50</v>
      </c>
      <c r="E152" s="90" t="s">
        <v>43</v>
      </c>
      <c r="F152" s="91"/>
      <c r="G152" s="90" t="s">
        <v>42</v>
      </c>
      <c r="H152" s="90" t="s">
        <v>44</v>
      </c>
      <c r="I152" s="90" t="s">
        <v>72</v>
      </c>
      <c r="J152" s="92" t="s">
        <v>45</v>
      </c>
      <c r="K152" s="93"/>
      <c r="L152" s="89" t="s">
        <v>53</v>
      </c>
      <c r="M152" s="90" t="s">
        <v>49</v>
      </c>
      <c r="N152" s="90" t="s">
        <v>47</v>
      </c>
      <c r="O152" s="91"/>
      <c r="P152" s="90" t="s">
        <v>67</v>
      </c>
      <c r="Q152" s="90" t="s">
        <v>51</v>
      </c>
      <c r="R152" s="92" t="s">
        <v>58</v>
      </c>
      <c r="S152" s="93"/>
      <c r="T152" s="187" t="s">
        <v>46</v>
      </c>
      <c r="U152" s="188"/>
      <c r="V152" s="189" t="s">
        <v>42</v>
      </c>
      <c r="W152" s="190"/>
      <c r="X152" s="187" t="s">
        <v>42</v>
      </c>
      <c r="Y152" s="191"/>
      <c r="Z152" s="190"/>
      <c r="AA152" s="94"/>
      <c r="AB152" s="87"/>
      <c r="AC152" s="87"/>
      <c r="AD152" s="95"/>
      <c r="AE152" s="171">
        <f t="shared" ref="AE152" si="110">SUM(B153,C153,D153,E153,G153,H153,I153,J153,L153,M153,N153,P153,Q153,R153,T153,V153,X153)</f>
        <v>8</v>
      </c>
      <c r="AF152" s="192"/>
      <c r="AG152" s="171">
        <f t="shared" ref="AG152" si="111">Z126</f>
        <v>12</v>
      </c>
      <c r="AH152" s="172"/>
      <c r="AI152" s="135">
        <f>SUM(AE152,AG152)</f>
        <v>20</v>
      </c>
      <c r="AJ152" s="136"/>
      <c r="AK152" s="137"/>
      <c r="AL152" s="87"/>
      <c r="AM152" s="141">
        <f t="shared" ref="AM152" si="112">SUM(AC153,AI152)</f>
        <v>20</v>
      </c>
      <c r="AN152" s="141"/>
      <c r="AO152" s="141"/>
      <c r="AP152" s="141"/>
      <c r="AQ152" s="87"/>
      <c r="AR152" s="120" t="s">
        <v>179</v>
      </c>
      <c r="AS152" s="120"/>
      <c r="AT152" s="120"/>
      <c r="AU152" s="120"/>
      <c r="AV152" s="120"/>
      <c r="AW152" s="120"/>
      <c r="AX152" s="120"/>
      <c r="AY152" s="120"/>
      <c r="AZ152" s="120"/>
    </row>
    <row r="153" spans="1:52" ht="13.5" customHeight="1" thickBot="1" x14ac:dyDescent="0.3">
      <c r="A153" s="175"/>
      <c r="B153" s="89" t="s">
        <v>129</v>
      </c>
      <c r="C153" s="90" t="s">
        <v>129</v>
      </c>
      <c r="D153" s="90" t="s">
        <v>129</v>
      </c>
      <c r="E153" s="90" t="s">
        <v>129</v>
      </c>
      <c r="F153" s="91"/>
      <c r="G153" s="90">
        <v>2</v>
      </c>
      <c r="H153" s="90" t="s">
        <v>129</v>
      </c>
      <c r="I153" s="90" t="s">
        <v>129</v>
      </c>
      <c r="J153" s="92" t="s">
        <v>129</v>
      </c>
      <c r="K153" s="97">
        <v>0</v>
      </c>
      <c r="L153" s="89">
        <v>3</v>
      </c>
      <c r="M153" s="90" t="s">
        <v>129</v>
      </c>
      <c r="N153" s="90" t="s">
        <v>129</v>
      </c>
      <c r="O153" s="98">
        <v>0</v>
      </c>
      <c r="P153" s="90">
        <v>3</v>
      </c>
      <c r="Q153" s="90" t="s">
        <v>129</v>
      </c>
      <c r="R153" s="92" t="s">
        <v>129</v>
      </c>
      <c r="S153" s="97">
        <v>0</v>
      </c>
      <c r="T153" s="182" t="s">
        <v>129</v>
      </c>
      <c r="U153" s="183"/>
      <c r="V153" s="184" t="s">
        <v>129</v>
      </c>
      <c r="W153" s="185"/>
      <c r="X153" s="182" t="s">
        <v>129</v>
      </c>
      <c r="Y153" s="186"/>
      <c r="Z153" s="185"/>
      <c r="AA153" s="99">
        <v>0</v>
      </c>
      <c r="AB153" s="87">
        <f t="shared" ref="AB153" si="113">SUM(K153,O153,S153,AA153)</f>
        <v>0</v>
      </c>
      <c r="AC153" s="87">
        <f>SUM(AB127,AB153)</f>
        <v>0</v>
      </c>
      <c r="AD153" s="95"/>
      <c r="AE153" s="173"/>
      <c r="AF153" s="193"/>
      <c r="AG153" s="173"/>
      <c r="AH153" s="140"/>
      <c r="AI153" s="138"/>
      <c r="AJ153" s="139"/>
      <c r="AK153" s="140"/>
      <c r="AL153" s="87"/>
      <c r="AM153" s="141"/>
      <c r="AN153" s="141"/>
      <c r="AO153" s="141"/>
      <c r="AP153" s="141"/>
      <c r="AQ153" s="87"/>
      <c r="AR153" s="120"/>
      <c r="AS153" s="120"/>
      <c r="AT153" s="120"/>
      <c r="AU153" s="120"/>
      <c r="AV153" s="120"/>
      <c r="AW153" s="120"/>
      <c r="AX153" s="120"/>
      <c r="AY153" s="120"/>
      <c r="AZ153" s="120"/>
    </row>
    <row r="154" spans="1:52" ht="13.5" customHeight="1" x14ac:dyDescent="0.25">
      <c r="A154" s="174" t="s">
        <v>32</v>
      </c>
      <c r="B154" s="89" t="s">
        <v>53</v>
      </c>
      <c r="C154" s="90" t="s">
        <v>75</v>
      </c>
      <c r="D154" s="90" t="s">
        <v>50</v>
      </c>
      <c r="E154" s="90" t="s">
        <v>43</v>
      </c>
      <c r="F154" s="91"/>
      <c r="G154" s="90" t="s">
        <v>42</v>
      </c>
      <c r="H154" s="90" t="s">
        <v>67</v>
      </c>
      <c r="I154" s="90" t="s">
        <v>51</v>
      </c>
      <c r="J154" s="92" t="s">
        <v>58</v>
      </c>
      <c r="K154" s="93"/>
      <c r="L154" s="89" t="s">
        <v>59</v>
      </c>
      <c r="M154" s="90" t="s">
        <v>49</v>
      </c>
      <c r="N154" s="90" t="s">
        <v>48</v>
      </c>
      <c r="O154" s="91"/>
      <c r="P154" s="90" t="s">
        <v>63</v>
      </c>
      <c r="Q154" s="90" t="s">
        <v>45</v>
      </c>
      <c r="R154" s="92" t="s">
        <v>67</v>
      </c>
      <c r="S154" s="93"/>
      <c r="T154" s="187" t="s">
        <v>53</v>
      </c>
      <c r="U154" s="188"/>
      <c r="V154" s="189" t="s">
        <v>42</v>
      </c>
      <c r="W154" s="190"/>
      <c r="X154" s="187" t="s">
        <v>53</v>
      </c>
      <c r="Y154" s="191"/>
      <c r="Z154" s="190"/>
      <c r="AA154" s="94"/>
      <c r="AB154" s="87"/>
      <c r="AC154" s="87"/>
      <c r="AD154" s="95"/>
      <c r="AE154" s="194">
        <f t="shared" ref="AE154" si="114">SUM(B155,C155,D155,E155,G155,H155,I155,J155,L155,M155,N155,P155,Q155,R155,T155,V155,X155)</f>
        <v>13</v>
      </c>
      <c r="AF154" s="195"/>
      <c r="AG154" s="171">
        <f t="shared" ref="AG154" si="115">Z128</f>
        <v>11</v>
      </c>
      <c r="AH154" s="172"/>
      <c r="AI154" s="135">
        <f>SUM(AE154,AG154)</f>
        <v>24</v>
      </c>
      <c r="AJ154" s="136"/>
      <c r="AK154" s="137"/>
      <c r="AL154" s="87"/>
      <c r="AM154" s="141">
        <f t="shared" ref="AM154" si="116">SUM(AC155,AI154)</f>
        <v>24</v>
      </c>
      <c r="AN154" s="141"/>
      <c r="AO154" s="141"/>
      <c r="AP154" s="141"/>
      <c r="AQ154" s="87"/>
      <c r="AR154" s="199"/>
      <c r="AS154" s="199"/>
      <c r="AT154" s="199"/>
      <c r="AU154" s="199"/>
      <c r="AV154" s="199"/>
      <c r="AW154" s="199"/>
      <c r="AX154" s="199"/>
      <c r="AY154" s="199"/>
      <c r="AZ154" s="199"/>
    </row>
    <row r="155" spans="1:52" ht="13.5" customHeight="1" x14ac:dyDescent="0.25">
      <c r="A155" s="175"/>
      <c r="B155" s="89" t="s">
        <v>129</v>
      </c>
      <c r="C155" s="90" t="s">
        <v>129</v>
      </c>
      <c r="D155" s="90" t="s">
        <v>129</v>
      </c>
      <c r="E155" s="90" t="s">
        <v>129</v>
      </c>
      <c r="F155" s="91"/>
      <c r="G155" s="90">
        <v>2</v>
      </c>
      <c r="H155" s="90" t="s">
        <v>129</v>
      </c>
      <c r="I155" s="90" t="s">
        <v>129</v>
      </c>
      <c r="J155" s="92">
        <v>2</v>
      </c>
      <c r="K155" s="97">
        <v>0</v>
      </c>
      <c r="L155" s="89">
        <v>3</v>
      </c>
      <c r="M155" s="90" t="s">
        <v>129</v>
      </c>
      <c r="N155" s="90" t="s">
        <v>129</v>
      </c>
      <c r="O155" s="98">
        <v>0</v>
      </c>
      <c r="P155" s="90" t="s">
        <v>129</v>
      </c>
      <c r="Q155" s="90">
        <v>3</v>
      </c>
      <c r="R155" s="92">
        <v>3</v>
      </c>
      <c r="S155" s="97">
        <v>0</v>
      </c>
      <c r="T155" s="182" t="s">
        <v>129</v>
      </c>
      <c r="U155" s="183"/>
      <c r="V155" s="184" t="s">
        <v>129</v>
      </c>
      <c r="W155" s="185"/>
      <c r="X155" s="182" t="s">
        <v>129</v>
      </c>
      <c r="Y155" s="186"/>
      <c r="Z155" s="185"/>
      <c r="AA155" s="99">
        <v>0</v>
      </c>
      <c r="AB155" s="87">
        <f t="shared" ref="AB155" si="117">SUM(K155,O155,S155,AA155)</f>
        <v>0</v>
      </c>
      <c r="AC155" s="87">
        <f>SUM(AB129,AB155)</f>
        <v>0</v>
      </c>
      <c r="AD155" s="95"/>
      <c r="AE155" s="173"/>
      <c r="AF155" s="193"/>
      <c r="AG155" s="173"/>
      <c r="AH155" s="140"/>
      <c r="AI155" s="138"/>
      <c r="AJ155" s="139"/>
      <c r="AK155" s="140"/>
      <c r="AL155" s="87"/>
      <c r="AM155" s="141"/>
      <c r="AN155" s="141"/>
      <c r="AO155" s="141"/>
      <c r="AP155" s="141"/>
      <c r="AQ155" s="87"/>
      <c r="AR155" s="199"/>
      <c r="AS155" s="199"/>
      <c r="AT155" s="199"/>
      <c r="AU155" s="199"/>
      <c r="AV155" s="199"/>
      <c r="AW155" s="199"/>
      <c r="AX155" s="199"/>
      <c r="AY155" s="199"/>
      <c r="AZ155" s="199"/>
    </row>
    <row r="156" spans="1:52" ht="11.25" customHeight="1" x14ac:dyDescent="0.25">
      <c r="W156" s="85"/>
    </row>
    <row r="159" spans="1:52" ht="11.25" customHeight="1" x14ac:dyDescent="0.25">
      <c r="L159" t="s">
        <v>154</v>
      </c>
      <c r="M159">
        <v>11</v>
      </c>
      <c r="N159">
        <v>4</v>
      </c>
      <c r="O159">
        <v>15</v>
      </c>
      <c r="P159" t="s">
        <v>156</v>
      </c>
      <c r="Q159">
        <v>10</v>
      </c>
      <c r="R159">
        <v>6</v>
      </c>
      <c r="S159">
        <v>16</v>
      </c>
    </row>
    <row r="160" spans="1:52" ht="11.25" customHeight="1" x14ac:dyDescent="0.25">
      <c r="L160" t="s">
        <v>155</v>
      </c>
      <c r="M160">
        <v>3</v>
      </c>
      <c r="N160">
        <v>2</v>
      </c>
      <c r="O160">
        <v>5</v>
      </c>
      <c r="P160" t="s">
        <v>157</v>
      </c>
      <c r="Q160">
        <v>6</v>
      </c>
      <c r="R160">
        <v>5</v>
      </c>
      <c r="S160">
        <v>11</v>
      </c>
    </row>
    <row r="161" spans="12:19" ht="11.25" customHeight="1" x14ac:dyDescent="0.25">
      <c r="L161" t="s">
        <v>153</v>
      </c>
      <c r="M161">
        <v>1</v>
      </c>
      <c r="N161">
        <v>1</v>
      </c>
      <c r="O161">
        <v>2</v>
      </c>
      <c r="P161" t="s">
        <v>158</v>
      </c>
      <c r="Q161">
        <v>4</v>
      </c>
      <c r="R161">
        <v>3</v>
      </c>
      <c r="S161">
        <v>7</v>
      </c>
    </row>
  </sheetData>
  <mergeCells count="488">
    <mergeCell ref="AR103:AZ104"/>
    <mergeCell ref="AR87:AZ88"/>
    <mergeCell ref="A1:A2"/>
    <mergeCell ref="D1:E1"/>
    <mergeCell ref="I1:J1"/>
    <mergeCell ref="N1:O1"/>
    <mergeCell ref="Z1:AA3"/>
    <mergeCell ref="A4:A5"/>
    <mergeCell ref="Z4:AA5"/>
    <mergeCell ref="A12:A13"/>
    <mergeCell ref="Z12:AA13"/>
    <mergeCell ref="A14:A15"/>
    <mergeCell ref="Z14:AA15"/>
    <mergeCell ref="A16:A17"/>
    <mergeCell ref="Z16:AA17"/>
    <mergeCell ref="A6:A7"/>
    <mergeCell ref="Z6:AA7"/>
    <mergeCell ref="A8:A9"/>
    <mergeCell ref="Z8:AA9"/>
    <mergeCell ref="A10:A11"/>
    <mergeCell ref="Z10:AA11"/>
    <mergeCell ref="L28:R28"/>
    <mergeCell ref="X28:Z30"/>
    <mergeCell ref="AE28:AF30"/>
    <mergeCell ref="A18:A19"/>
    <mergeCell ref="Z18:AA19"/>
    <mergeCell ref="A20:A21"/>
    <mergeCell ref="Z20:AA21"/>
    <mergeCell ref="A22:A23"/>
    <mergeCell ref="Z22:AA23"/>
    <mergeCell ref="AC22:AC23"/>
    <mergeCell ref="AB29:AB30"/>
    <mergeCell ref="V29:W30"/>
    <mergeCell ref="A28:A30"/>
    <mergeCell ref="B28:J28"/>
    <mergeCell ref="T32:U32"/>
    <mergeCell ref="V32:W32"/>
    <mergeCell ref="X32:Z32"/>
    <mergeCell ref="AR29:AZ29"/>
    <mergeCell ref="A31:A32"/>
    <mergeCell ref="T31:U31"/>
    <mergeCell ref="V31:W31"/>
    <mergeCell ref="X31:Z31"/>
    <mergeCell ref="AE31:AF32"/>
    <mergeCell ref="AG31:AH32"/>
    <mergeCell ref="AI31:AK32"/>
    <mergeCell ref="AM31:AP32"/>
    <mergeCell ref="AI28:AK30"/>
    <mergeCell ref="AL28:AQ30"/>
    <mergeCell ref="B29:E29"/>
    <mergeCell ref="G29:J29"/>
    <mergeCell ref="L29:N30"/>
    <mergeCell ref="P29:R30"/>
    <mergeCell ref="T29:U30"/>
    <mergeCell ref="AG28:AH30"/>
    <mergeCell ref="AR31:AZ32"/>
    <mergeCell ref="AR33:AZ34"/>
    <mergeCell ref="AI35:AK36"/>
    <mergeCell ref="AM35:AP36"/>
    <mergeCell ref="T36:U36"/>
    <mergeCell ref="V36:W36"/>
    <mergeCell ref="X36:Z36"/>
    <mergeCell ref="A35:A36"/>
    <mergeCell ref="T35:U35"/>
    <mergeCell ref="V35:W35"/>
    <mergeCell ref="X35:Z35"/>
    <mergeCell ref="AE35:AF36"/>
    <mergeCell ref="AG35:AH36"/>
    <mergeCell ref="AR35:AZ36"/>
    <mergeCell ref="AE33:AF34"/>
    <mergeCell ref="AG33:AH34"/>
    <mergeCell ref="AI33:AK34"/>
    <mergeCell ref="AM33:AP34"/>
    <mergeCell ref="T34:U34"/>
    <mergeCell ref="V34:W34"/>
    <mergeCell ref="X34:Z34"/>
    <mergeCell ref="A33:A34"/>
    <mergeCell ref="T33:U33"/>
    <mergeCell ref="V33:W33"/>
    <mergeCell ref="X33:Z33"/>
    <mergeCell ref="A39:A40"/>
    <mergeCell ref="T39:U39"/>
    <mergeCell ref="V39:W39"/>
    <mergeCell ref="X39:Z39"/>
    <mergeCell ref="AE39:AF40"/>
    <mergeCell ref="A37:A38"/>
    <mergeCell ref="T37:U37"/>
    <mergeCell ref="V37:W37"/>
    <mergeCell ref="X37:Z37"/>
    <mergeCell ref="AE37:AF38"/>
    <mergeCell ref="AG39:AH40"/>
    <mergeCell ref="AI39:AK40"/>
    <mergeCell ref="AM39:AP40"/>
    <mergeCell ref="AR39:AZ40"/>
    <mergeCell ref="T40:U40"/>
    <mergeCell ref="V40:W40"/>
    <mergeCell ref="X40:Z40"/>
    <mergeCell ref="AI37:AK38"/>
    <mergeCell ref="AM37:AP38"/>
    <mergeCell ref="T38:U38"/>
    <mergeCell ref="V38:W38"/>
    <mergeCell ref="X38:Z38"/>
    <mergeCell ref="AG37:AH38"/>
    <mergeCell ref="AR37:AZ38"/>
    <mergeCell ref="AI41:AK42"/>
    <mergeCell ref="AM41:AP42"/>
    <mergeCell ref="AR41:AZ42"/>
    <mergeCell ref="T42:U42"/>
    <mergeCell ref="V42:W42"/>
    <mergeCell ref="X42:Z42"/>
    <mergeCell ref="A41:A42"/>
    <mergeCell ref="T41:U41"/>
    <mergeCell ref="V41:W41"/>
    <mergeCell ref="X41:Z41"/>
    <mergeCell ref="AE41:AF42"/>
    <mergeCell ref="AG41:AH42"/>
    <mergeCell ref="A45:A46"/>
    <mergeCell ref="T45:U45"/>
    <mergeCell ref="V45:W45"/>
    <mergeCell ref="X45:Z45"/>
    <mergeCell ref="AE45:AF46"/>
    <mergeCell ref="AI43:AK44"/>
    <mergeCell ref="AM43:AP44"/>
    <mergeCell ref="AR43:AZ44"/>
    <mergeCell ref="T44:U44"/>
    <mergeCell ref="V44:W44"/>
    <mergeCell ref="X44:Z44"/>
    <mergeCell ref="A43:A44"/>
    <mergeCell ref="T43:U43"/>
    <mergeCell ref="V43:W43"/>
    <mergeCell ref="X43:Z43"/>
    <mergeCell ref="AE43:AF44"/>
    <mergeCell ref="AG43:AH44"/>
    <mergeCell ref="AM47:AP48"/>
    <mergeCell ref="AR47:AZ48"/>
    <mergeCell ref="T48:U48"/>
    <mergeCell ref="V48:W48"/>
    <mergeCell ref="X48:Z48"/>
    <mergeCell ref="AI45:AK46"/>
    <mergeCell ref="AM45:AP46"/>
    <mergeCell ref="T46:U46"/>
    <mergeCell ref="V46:W46"/>
    <mergeCell ref="X46:Z46"/>
    <mergeCell ref="AG45:AH46"/>
    <mergeCell ref="T47:U47"/>
    <mergeCell ref="V47:W47"/>
    <mergeCell ref="X47:Z47"/>
    <mergeCell ref="AE47:AF48"/>
    <mergeCell ref="AR45:AZ46"/>
    <mergeCell ref="A49:A50"/>
    <mergeCell ref="T49:U49"/>
    <mergeCell ref="V49:W49"/>
    <mergeCell ref="X49:Z49"/>
    <mergeCell ref="T50:U50"/>
    <mergeCell ref="V50:W50"/>
    <mergeCell ref="X50:Z50"/>
    <mergeCell ref="AG47:AH48"/>
    <mergeCell ref="AI47:AK48"/>
    <mergeCell ref="A47:A48"/>
    <mergeCell ref="Z59:AA60"/>
    <mergeCell ref="Z61:AA62"/>
    <mergeCell ref="Z63:AA64"/>
    <mergeCell ref="Z65:AA66"/>
    <mergeCell ref="Z67:AA68"/>
    <mergeCell ref="A69:A70"/>
    <mergeCell ref="Z69:AA70"/>
    <mergeCell ref="A54:A55"/>
    <mergeCell ref="D54:E54"/>
    <mergeCell ref="I54:J54"/>
    <mergeCell ref="N54:O54"/>
    <mergeCell ref="Z54:AA56"/>
    <mergeCell ref="Z57:AA58"/>
    <mergeCell ref="A82:A84"/>
    <mergeCell ref="B82:J82"/>
    <mergeCell ref="L82:R82"/>
    <mergeCell ref="A71:A72"/>
    <mergeCell ref="Z71:AA72"/>
    <mergeCell ref="A73:A74"/>
    <mergeCell ref="Z73:AA74"/>
    <mergeCell ref="A75:A76"/>
    <mergeCell ref="Z75:AA76"/>
    <mergeCell ref="AL82:AQ84"/>
    <mergeCell ref="X82:Z84"/>
    <mergeCell ref="AE82:AF84"/>
    <mergeCell ref="AG82:AH84"/>
    <mergeCell ref="B83:E83"/>
    <mergeCell ref="G83:J83"/>
    <mergeCell ref="L83:N84"/>
    <mergeCell ref="P83:R84"/>
    <mergeCell ref="T83:U84"/>
    <mergeCell ref="V83:W84"/>
    <mergeCell ref="T85:U85"/>
    <mergeCell ref="V85:W85"/>
    <mergeCell ref="X85:Z85"/>
    <mergeCell ref="AE85:AF86"/>
    <mergeCell ref="AG85:AH86"/>
    <mergeCell ref="AI85:AK86"/>
    <mergeCell ref="AM85:AP86"/>
    <mergeCell ref="T86:U86"/>
    <mergeCell ref="V86:W86"/>
    <mergeCell ref="T88:U88"/>
    <mergeCell ref="V88:W88"/>
    <mergeCell ref="X88:Z88"/>
    <mergeCell ref="T89:U89"/>
    <mergeCell ref="V89:W89"/>
    <mergeCell ref="X89:Z89"/>
    <mergeCell ref="AE89:AF90"/>
    <mergeCell ref="AG89:AH90"/>
    <mergeCell ref="X86:Z86"/>
    <mergeCell ref="T87:U87"/>
    <mergeCell ref="V87:W87"/>
    <mergeCell ref="X87:Z87"/>
    <mergeCell ref="AE87:AF88"/>
    <mergeCell ref="AG87:AH88"/>
    <mergeCell ref="T91:U91"/>
    <mergeCell ref="V91:W91"/>
    <mergeCell ref="X91:Z91"/>
    <mergeCell ref="AE91:AF92"/>
    <mergeCell ref="AG91:AH92"/>
    <mergeCell ref="AI91:AK92"/>
    <mergeCell ref="AI89:AK90"/>
    <mergeCell ref="AM89:AP90"/>
    <mergeCell ref="AR89:AZ90"/>
    <mergeCell ref="T90:U90"/>
    <mergeCell ref="V90:W90"/>
    <mergeCell ref="X90:Z90"/>
    <mergeCell ref="T92:U92"/>
    <mergeCell ref="V92:W92"/>
    <mergeCell ref="X92:Z92"/>
    <mergeCell ref="AR91:AZ92"/>
    <mergeCell ref="AM91:AP92"/>
    <mergeCell ref="AI93:AK94"/>
    <mergeCell ref="AR95:AZ96"/>
    <mergeCell ref="T96:U96"/>
    <mergeCell ref="V96:W96"/>
    <mergeCell ref="X96:Z96"/>
    <mergeCell ref="AM93:AP94"/>
    <mergeCell ref="AR93:AZ94"/>
    <mergeCell ref="T94:U94"/>
    <mergeCell ref="V94:W94"/>
    <mergeCell ref="X94:Z94"/>
    <mergeCell ref="T95:U95"/>
    <mergeCell ref="V95:W95"/>
    <mergeCell ref="X95:Z95"/>
    <mergeCell ref="AE95:AF96"/>
    <mergeCell ref="AG95:AH96"/>
    <mergeCell ref="AI95:AK96"/>
    <mergeCell ref="AM95:AP96"/>
    <mergeCell ref="T93:U93"/>
    <mergeCell ref="V93:W93"/>
    <mergeCell ref="X93:Z93"/>
    <mergeCell ref="AE93:AF94"/>
    <mergeCell ref="AG93:AH94"/>
    <mergeCell ref="AG99:AH100"/>
    <mergeCell ref="T98:U98"/>
    <mergeCell ref="V98:W98"/>
    <mergeCell ref="X98:Z98"/>
    <mergeCell ref="A97:A98"/>
    <mergeCell ref="T97:U97"/>
    <mergeCell ref="V97:W97"/>
    <mergeCell ref="X97:Z97"/>
    <mergeCell ref="A101:A102"/>
    <mergeCell ref="T101:U101"/>
    <mergeCell ref="V101:W101"/>
    <mergeCell ref="X101:Z101"/>
    <mergeCell ref="AE101:AF102"/>
    <mergeCell ref="A99:A100"/>
    <mergeCell ref="T99:U99"/>
    <mergeCell ref="V99:W99"/>
    <mergeCell ref="X99:Z99"/>
    <mergeCell ref="AE99:AF100"/>
    <mergeCell ref="T102:U102"/>
    <mergeCell ref="V102:W102"/>
    <mergeCell ref="X102:Z102"/>
    <mergeCell ref="AE97:AF98"/>
    <mergeCell ref="T100:U100"/>
    <mergeCell ref="V100:W100"/>
    <mergeCell ref="X100:Z100"/>
    <mergeCell ref="A107:A108"/>
    <mergeCell ref="D107:E107"/>
    <mergeCell ref="I107:J107"/>
    <mergeCell ref="N107:O107"/>
    <mergeCell ref="Z107:AA109"/>
    <mergeCell ref="A103:A104"/>
    <mergeCell ref="T103:U103"/>
    <mergeCell ref="V103:W103"/>
    <mergeCell ref="X103:Z103"/>
    <mergeCell ref="T104:U104"/>
    <mergeCell ref="V104:W104"/>
    <mergeCell ref="X104:Z104"/>
    <mergeCell ref="A124:A125"/>
    <mergeCell ref="Z124:AA125"/>
    <mergeCell ref="A126:A127"/>
    <mergeCell ref="Z126:AA127"/>
    <mergeCell ref="Z110:AA111"/>
    <mergeCell ref="Z112:AA113"/>
    <mergeCell ref="Z114:AA115"/>
    <mergeCell ref="Z116:AA117"/>
    <mergeCell ref="Z118:AA119"/>
    <mergeCell ref="A120:A121"/>
    <mergeCell ref="Z120:AA121"/>
    <mergeCell ref="A122:A123"/>
    <mergeCell ref="Z122:AA123"/>
    <mergeCell ref="B134:E134"/>
    <mergeCell ref="G134:J134"/>
    <mergeCell ref="L134:N135"/>
    <mergeCell ref="P134:R135"/>
    <mergeCell ref="T134:U135"/>
    <mergeCell ref="V134:W135"/>
    <mergeCell ref="A128:A129"/>
    <mergeCell ref="Z128:AA129"/>
    <mergeCell ref="A133:A135"/>
    <mergeCell ref="B133:J133"/>
    <mergeCell ref="L133:R133"/>
    <mergeCell ref="X133:Z135"/>
    <mergeCell ref="T136:U136"/>
    <mergeCell ref="V136:W136"/>
    <mergeCell ref="X136:Z136"/>
    <mergeCell ref="AE136:AF137"/>
    <mergeCell ref="AG136:AH137"/>
    <mergeCell ref="AI136:AK137"/>
    <mergeCell ref="AM136:AP137"/>
    <mergeCell ref="T137:U137"/>
    <mergeCell ref="V137:W137"/>
    <mergeCell ref="X137:Z137"/>
    <mergeCell ref="T139:U139"/>
    <mergeCell ref="V139:W139"/>
    <mergeCell ref="X139:Z139"/>
    <mergeCell ref="T140:U140"/>
    <mergeCell ref="V140:W140"/>
    <mergeCell ref="X140:Z140"/>
    <mergeCell ref="AE140:AF141"/>
    <mergeCell ref="AG140:AH141"/>
    <mergeCell ref="T138:U138"/>
    <mergeCell ref="V138:W138"/>
    <mergeCell ref="X138:Z138"/>
    <mergeCell ref="AE138:AF139"/>
    <mergeCell ref="AG138:AH139"/>
    <mergeCell ref="T142:U142"/>
    <mergeCell ref="V142:W142"/>
    <mergeCell ref="X142:Z142"/>
    <mergeCell ref="AE142:AF143"/>
    <mergeCell ref="AG142:AH143"/>
    <mergeCell ref="AI142:AK143"/>
    <mergeCell ref="AR140:AZ141"/>
    <mergeCell ref="T141:U141"/>
    <mergeCell ref="V141:W141"/>
    <mergeCell ref="X141:Z141"/>
    <mergeCell ref="AI140:AK141"/>
    <mergeCell ref="AM140:AP141"/>
    <mergeCell ref="A150:A151"/>
    <mergeCell ref="AI148:AK149"/>
    <mergeCell ref="AM148:AP149"/>
    <mergeCell ref="AR146:AZ147"/>
    <mergeCell ref="T147:U147"/>
    <mergeCell ref="V147:W147"/>
    <mergeCell ref="X147:Z147"/>
    <mergeCell ref="AM144:AP145"/>
    <mergeCell ref="AR144:AZ145"/>
    <mergeCell ref="T145:U145"/>
    <mergeCell ref="V145:W145"/>
    <mergeCell ref="X145:Z145"/>
    <mergeCell ref="T146:U146"/>
    <mergeCell ref="V146:W146"/>
    <mergeCell ref="X146:Z146"/>
    <mergeCell ref="AE146:AF147"/>
    <mergeCell ref="T144:U144"/>
    <mergeCell ref="V144:W144"/>
    <mergeCell ref="X144:Z144"/>
    <mergeCell ref="AE144:AF145"/>
    <mergeCell ref="AG144:AH145"/>
    <mergeCell ref="AI144:AK145"/>
    <mergeCell ref="AG146:AH147"/>
    <mergeCell ref="AI146:AK147"/>
    <mergeCell ref="T149:U149"/>
    <mergeCell ref="V149:W149"/>
    <mergeCell ref="X149:Z149"/>
    <mergeCell ref="A148:A149"/>
    <mergeCell ref="T148:U148"/>
    <mergeCell ref="V148:W148"/>
    <mergeCell ref="X148:Z148"/>
    <mergeCell ref="AE148:AF149"/>
    <mergeCell ref="AG148:AH149"/>
    <mergeCell ref="A146:A147"/>
    <mergeCell ref="AM142:AP143"/>
    <mergeCell ref="T143:U143"/>
    <mergeCell ref="V143:W143"/>
    <mergeCell ref="X143:Z143"/>
    <mergeCell ref="AR152:AZ153"/>
    <mergeCell ref="T153:U153"/>
    <mergeCell ref="V153:W153"/>
    <mergeCell ref="X153:Z153"/>
    <mergeCell ref="AI150:AK151"/>
    <mergeCell ref="AM150:AP151"/>
    <mergeCell ref="T151:U151"/>
    <mergeCell ref="V151:W151"/>
    <mergeCell ref="X151:Z151"/>
    <mergeCell ref="T152:U152"/>
    <mergeCell ref="V152:W152"/>
    <mergeCell ref="X152:Z152"/>
    <mergeCell ref="AE152:AF153"/>
    <mergeCell ref="T150:U150"/>
    <mergeCell ref="V150:W150"/>
    <mergeCell ref="X150:Z150"/>
    <mergeCell ref="AE150:AF151"/>
    <mergeCell ref="AG150:AH151"/>
    <mergeCell ref="AR148:AZ149"/>
    <mergeCell ref="A154:A155"/>
    <mergeCell ref="T154:U154"/>
    <mergeCell ref="V154:W154"/>
    <mergeCell ref="X154:Z154"/>
    <mergeCell ref="AE154:AF155"/>
    <mergeCell ref="AG154:AH155"/>
    <mergeCell ref="AG152:AH153"/>
    <mergeCell ref="AI152:AK153"/>
    <mergeCell ref="AM152:AP153"/>
    <mergeCell ref="A152:A153"/>
    <mergeCell ref="AI154:AK155"/>
    <mergeCell ref="AM154:AP155"/>
    <mergeCell ref="T155:U155"/>
    <mergeCell ref="V155:W155"/>
    <mergeCell ref="X155:Z155"/>
    <mergeCell ref="AC4:AC5"/>
    <mergeCell ref="AC6:AC7"/>
    <mergeCell ref="AC8:AC9"/>
    <mergeCell ref="AC10:AC11"/>
    <mergeCell ref="AC12:AC13"/>
    <mergeCell ref="AC14:AC15"/>
    <mergeCell ref="AC16:AC17"/>
    <mergeCell ref="AC18:AC19"/>
    <mergeCell ref="AC20:AC21"/>
    <mergeCell ref="AR49:AZ50"/>
    <mergeCell ref="AR138:AZ139"/>
    <mergeCell ref="AE49:AF50"/>
    <mergeCell ref="AG49:AH50"/>
    <mergeCell ref="AI49:AK50"/>
    <mergeCell ref="AM49:AP50"/>
    <mergeCell ref="AG101:AH102"/>
    <mergeCell ref="AI101:AK102"/>
    <mergeCell ref="AM101:AP102"/>
    <mergeCell ref="AM87:AP88"/>
    <mergeCell ref="AR134:AZ134"/>
    <mergeCell ref="AE133:AF135"/>
    <mergeCell ref="AG133:AH135"/>
    <mergeCell ref="AI133:AK135"/>
    <mergeCell ref="AL133:AQ135"/>
    <mergeCell ref="AR101:AZ102"/>
    <mergeCell ref="AR97:AZ98"/>
    <mergeCell ref="AI99:AK100"/>
    <mergeCell ref="AM99:AP100"/>
    <mergeCell ref="AG97:AH98"/>
    <mergeCell ref="AI97:AK98"/>
    <mergeCell ref="AM97:AP98"/>
    <mergeCell ref="AR83:AZ83"/>
    <mergeCell ref="AI82:AK84"/>
    <mergeCell ref="AC57:AC58"/>
    <mergeCell ref="AC59:AC60"/>
    <mergeCell ref="AC61:AC62"/>
    <mergeCell ref="AC63:AC64"/>
    <mergeCell ref="AC65:AC66"/>
    <mergeCell ref="AC67:AC68"/>
    <mergeCell ref="AC69:AC70"/>
    <mergeCell ref="AC71:AC72"/>
    <mergeCell ref="AC73:AC74"/>
    <mergeCell ref="AC126:AC127"/>
    <mergeCell ref="AC128:AC129"/>
    <mergeCell ref="AR85:AZ86"/>
    <mergeCell ref="AR99:AZ100"/>
    <mergeCell ref="AR154:AZ155"/>
    <mergeCell ref="AR150:AZ151"/>
    <mergeCell ref="AR142:AZ143"/>
    <mergeCell ref="AC75:AC76"/>
    <mergeCell ref="AC110:AC111"/>
    <mergeCell ref="AC112:AC113"/>
    <mergeCell ref="AC114:AC115"/>
    <mergeCell ref="AC116:AC117"/>
    <mergeCell ref="AC118:AC119"/>
    <mergeCell ref="AC120:AC121"/>
    <mergeCell ref="AC122:AC123"/>
    <mergeCell ref="AC124:AC125"/>
    <mergeCell ref="AI87:AK88"/>
    <mergeCell ref="AI103:AK104"/>
    <mergeCell ref="AM103:AP104"/>
    <mergeCell ref="AE103:AF104"/>
    <mergeCell ref="AG103:AH104"/>
    <mergeCell ref="AI138:AK139"/>
    <mergeCell ref="AM138:AP139"/>
    <mergeCell ref="AM146:AP147"/>
  </mergeCells>
  <pageMargins left="0.7" right="0.7" top="0.75" bottom="0.75" header="0.3" footer="0.3"/>
  <pageSetup paperSize="5" fitToWidth="0" fitToHeight="0" orientation="landscape" blackAndWhite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5454-0111-4A25-BFB3-7FF245F5B89C}">
  <dimension ref="A1:B35"/>
  <sheetViews>
    <sheetView workbookViewId="0">
      <selection activeCell="B32" sqref="B32"/>
    </sheetView>
  </sheetViews>
  <sheetFormatPr defaultRowHeight="15" x14ac:dyDescent="0.25"/>
  <cols>
    <col min="1" max="1" width="65.140625" bestFit="1" customWidth="1"/>
    <col min="2" max="2" width="12.42578125" style="71" customWidth="1"/>
  </cols>
  <sheetData>
    <row r="1" spans="1:2" x14ac:dyDescent="0.25">
      <c r="A1" t="s">
        <v>100</v>
      </c>
      <c r="B1" s="71" t="s">
        <v>130</v>
      </c>
    </row>
    <row r="2" spans="1:2" x14ac:dyDescent="0.25">
      <c r="A2" t="s">
        <v>101</v>
      </c>
      <c r="B2" s="71">
        <v>1</v>
      </c>
    </row>
    <row r="3" spans="1:2" x14ac:dyDescent="0.25">
      <c r="A3" t="s">
        <v>102</v>
      </c>
      <c r="B3" s="71">
        <v>1</v>
      </c>
    </row>
    <row r="4" spans="1:2" x14ac:dyDescent="0.25">
      <c r="A4" t="s">
        <v>103</v>
      </c>
    </row>
    <row r="5" spans="1:2" x14ac:dyDescent="0.25">
      <c r="A5" t="s">
        <v>104</v>
      </c>
    </row>
    <row r="6" spans="1:2" x14ac:dyDescent="0.25">
      <c r="A6" t="s">
        <v>105</v>
      </c>
    </row>
    <row r="7" spans="1:2" x14ac:dyDescent="0.25">
      <c r="A7" t="s">
        <v>106</v>
      </c>
    </row>
    <row r="8" spans="1:2" x14ac:dyDescent="0.25">
      <c r="A8" t="s">
        <v>107</v>
      </c>
      <c r="B8" s="71">
        <v>1</v>
      </c>
    </row>
    <row r="9" spans="1:2" x14ac:dyDescent="0.25">
      <c r="A9" t="s">
        <v>108</v>
      </c>
      <c r="B9" s="71">
        <v>1</v>
      </c>
    </row>
    <row r="10" spans="1:2" x14ac:dyDescent="0.25">
      <c r="A10" t="s">
        <v>109</v>
      </c>
      <c r="B10" s="71">
        <v>1</v>
      </c>
    </row>
    <row r="11" spans="1:2" x14ac:dyDescent="0.25">
      <c r="A11" t="s">
        <v>110</v>
      </c>
    </row>
    <row r="12" spans="1:2" x14ac:dyDescent="0.25">
      <c r="A12" t="s">
        <v>111</v>
      </c>
      <c r="B12" s="71">
        <v>1</v>
      </c>
    </row>
    <row r="13" spans="1:2" x14ac:dyDescent="0.25">
      <c r="A13" t="s">
        <v>112</v>
      </c>
    </row>
    <row r="14" spans="1:2" x14ac:dyDescent="0.25">
      <c r="A14" t="s">
        <v>113</v>
      </c>
    </row>
    <row r="15" spans="1:2" x14ac:dyDescent="0.25">
      <c r="A15" t="s">
        <v>114</v>
      </c>
      <c r="B15" s="71">
        <v>1</v>
      </c>
    </row>
    <row r="16" spans="1:2" x14ac:dyDescent="0.25">
      <c r="A16" t="s">
        <v>115</v>
      </c>
    </row>
    <row r="17" spans="1:2" x14ac:dyDescent="0.25">
      <c r="A17" t="s">
        <v>116</v>
      </c>
      <c r="B17" s="71">
        <v>1</v>
      </c>
    </row>
    <row r="18" spans="1:2" x14ac:dyDescent="0.25">
      <c r="A18" t="s">
        <v>117</v>
      </c>
      <c r="B18" s="71">
        <v>1</v>
      </c>
    </row>
    <row r="19" spans="1:2" x14ac:dyDescent="0.25">
      <c r="A19" t="s">
        <v>78</v>
      </c>
    </row>
    <row r="20" spans="1:2" x14ac:dyDescent="0.25">
      <c r="A20" t="s">
        <v>80</v>
      </c>
    </row>
    <row r="21" spans="1:2" x14ac:dyDescent="0.25">
      <c r="A21" t="s">
        <v>118</v>
      </c>
      <c r="B21" s="71">
        <v>1</v>
      </c>
    </row>
    <row r="22" spans="1:2" x14ac:dyDescent="0.25">
      <c r="A22" t="s">
        <v>79</v>
      </c>
      <c r="B22" s="71">
        <v>1</v>
      </c>
    </row>
    <row r="23" spans="1:2" x14ac:dyDescent="0.25">
      <c r="A23" t="s">
        <v>119</v>
      </c>
    </row>
    <row r="24" spans="1:2" x14ac:dyDescent="0.25">
      <c r="A24" t="s">
        <v>120</v>
      </c>
      <c r="B24" s="71">
        <v>1</v>
      </c>
    </row>
    <row r="25" spans="1:2" x14ac:dyDescent="0.25">
      <c r="A25" t="s">
        <v>121</v>
      </c>
      <c r="B25" s="71">
        <v>1</v>
      </c>
    </row>
    <row r="26" spans="1:2" x14ac:dyDescent="0.25">
      <c r="A26" t="s">
        <v>122</v>
      </c>
      <c r="B26" s="71">
        <v>1</v>
      </c>
    </row>
    <row r="27" spans="1:2" x14ac:dyDescent="0.25">
      <c r="A27" t="s">
        <v>77</v>
      </c>
    </row>
    <row r="28" spans="1:2" x14ac:dyDescent="0.25">
      <c r="A28" t="s">
        <v>123</v>
      </c>
    </row>
    <row r="29" spans="1:2" x14ac:dyDescent="0.25">
      <c r="A29" t="s">
        <v>124</v>
      </c>
    </row>
    <row r="30" spans="1:2" x14ac:dyDescent="0.25">
      <c r="A30" t="s">
        <v>125</v>
      </c>
    </row>
    <row r="31" spans="1:2" x14ac:dyDescent="0.25">
      <c r="A31" t="s">
        <v>126</v>
      </c>
    </row>
    <row r="32" spans="1:2" x14ac:dyDescent="0.25">
      <c r="A32" t="s">
        <v>127</v>
      </c>
      <c r="B32" s="71">
        <v>1</v>
      </c>
    </row>
    <row r="33" spans="1:2" ht="15.75" thickBot="1" x14ac:dyDescent="0.3">
      <c r="A33" t="s">
        <v>128</v>
      </c>
      <c r="B33" s="71">
        <v>1</v>
      </c>
    </row>
    <row r="34" spans="1:2" x14ac:dyDescent="0.25">
      <c r="B34" s="266">
        <f>SUM(B2:B33)</f>
        <v>16</v>
      </c>
    </row>
    <row r="35" spans="1:2" ht="15.75" thickBot="1" x14ac:dyDescent="0.3">
      <c r="B35" s="267"/>
    </row>
  </sheetData>
  <mergeCells count="1">
    <mergeCell ref="B34:B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standings</vt:lpstr>
      <vt:lpstr>picks</vt:lpstr>
      <vt:lpstr>team names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 J</dc:creator>
  <cp:keywords/>
  <dc:description/>
  <cp:lastModifiedBy>M J</cp:lastModifiedBy>
  <cp:revision/>
  <dcterms:created xsi:type="dcterms:W3CDTF">2025-09-11T19:42:52Z</dcterms:created>
  <dcterms:modified xsi:type="dcterms:W3CDTF">2026-01-18T09:47:45Z</dcterms:modified>
  <cp:category/>
  <cp:contentStatus/>
</cp:coreProperties>
</file>