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BA88A3772A7ADC/football pool/2025/"/>
    </mc:Choice>
  </mc:AlternateContent>
  <xr:revisionPtr revIDLastSave="6" documentId="8_{B580F2BE-613C-4A2A-8FDB-648605F5B146}" xr6:coauthVersionLast="47" xr6:coauthVersionMax="47" xr10:uidLastSave="{789499D4-4A35-4D38-AE4F-CA145A254927}"/>
  <bookViews>
    <workbookView xWindow="-120" yWindow="-120" windowWidth="29040" windowHeight="15720" xr2:uid="{353623D1-47EC-4C72-B2B3-2535E1F8D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AC142" i="1"/>
  <c r="AG142" i="1" s="1"/>
  <c r="AK142" i="1" s="1"/>
  <c r="AC140" i="1"/>
  <c r="AC138" i="1"/>
  <c r="AC136" i="1"/>
  <c r="AC134" i="1"/>
  <c r="AG134" i="1" s="1"/>
  <c r="AK134" i="1" s="1"/>
  <c r="AC132" i="1"/>
  <c r="AC130" i="1"/>
  <c r="AG130" i="1" s="1"/>
  <c r="AK130" i="1" s="1"/>
  <c r="AC128" i="1"/>
  <c r="AC126" i="1"/>
  <c r="AG126" i="1" s="1"/>
  <c r="AK126" i="1" s="1"/>
  <c r="AC124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Z117" i="1" s="1"/>
  <c r="AE142" i="1" s="1"/>
  <c r="B116" i="1"/>
  <c r="Z115" i="1" s="1"/>
  <c r="AE140" i="1" s="1"/>
  <c r="B114" i="1"/>
  <c r="Z113" i="1" s="1"/>
  <c r="AE138" i="1" s="1"/>
  <c r="B112" i="1"/>
  <c r="Z111" i="1" s="1"/>
  <c r="AE136" i="1" s="1"/>
  <c r="B110" i="1"/>
  <c r="Z109" i="1" s="1"/>
  <c r="AE134" i="1" s="1"/>
  <c r="B108" i="1"/>
  <c r="Z107" i="1" s="1"/>
  <c r="AE132" i="1" s="1"/>
  <c r="B106" i="1"/>
  <c r="Z105" i="1" s="1"/>
  <c r="AE130" i="1" s="1"/>
  <c r="B104" i="1"/>
  <c r="Z103" i="1" s="1"/>
  <c r="AE128" i="1" s="1"/>
  <c r="B102" i="1"/>
  <c r="Z101" i="1" s="1"/>
  <c r="AE126" i="1" s="1"/>
  <c r="B100" i="1"/>
  <c r="Z99" i="1" s="1"/>
  <c r="AE124" i="1" s="1"/>
  <c r="AC93" i="1"/>
  <c r="AC91" i="1"/>
  <c r="AC89" i="1"/>
  <c r="AC87" i="1"/>
  <c r="AC85" i="1"/>
  <c r="AC83" i="1"/>
  <c r="AC81" i="1"/>
  <c r="AC79" i="1"/>
  <c r="AC77" i="1"/>
  <c r="AC75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Z68" i="1" s="1"/>
  <c r="AE93" i="1" s="1"/>
  <c r="AG93" i="1" s="1"/>
  <c r="AK93" i="1" s="1"/>
  <c r="D69" i="1"/>
  <c r="C69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Z66" i="1" s="1"/>
  <c r="AE91" i="1" s="1"/>
  <c r="AG91" i="1" s="1"/>
  <c r="AK91" i="1" s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Z64" i="1" s="1"/>
  <c r="AE89" i="1" s="1"/>
  <c r="AG89" i="1" s="1"/>
  <c r="AK89" i="1" s="1"/>
  <c r="B65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Z62" i="1" s="1"/>
  <c r="AE87" i="1" s="1"/>
  <c r="AG87" i="1" s="1"/>
  <c r="AK87" i="1" s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Z60" i="1"/>
  <c r="AE85" i="1" s="1"/>
  <c r="AG85" i="1" s="1"/>
  <c r="AK85" i="1" s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Z58" i="1" s="1"/>
  <c r="AE83" i="1" s="1"/>
  <c r="AG83" i="1" s="1"/>
  <c r="AK83" i="1" s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Z56" i="1" s="1"/>
  <c r="AE81" i="1" s="1"/>
  <c r="AG81" i="1" s="1"/>
  <c r="AK81" i="1" s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Z54" i="1" s="1"/>
  <c r="AE79" i="1" s="1"/>
  <c r="AG79" i="1" s="1"/>
  <c r="AK79" i="1" s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Z52" i="1" s="1"/>
  <c r="AE77" i="1" s="1"/>
  <c r="AG77" i="1" s="1"/>
  <c r="AK77" i="1" s="1"/>
  <c r="D53" i="1"/>
  <c r="C53" i="1"/>
  <c r="B53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Z50" i="1" s="1"/>
  <c r="AE75" i="1" s="1"/>
  <c r="AG75" i="1" s="1"/>
  <c r="AK75" i="1" s="1"/>
  <c r="AC44" i="1"/>
  <c r="AG44" i="1" s="1"/>
  <c r="AK44" i="1" s="1"/>
  <c r="AC42" i="1"/>
  <c r="AC40" i="1"/>
  <c r="AG40" i="1" s="1"/>
  <c r="AK40" i="1" s="1"/>
  <c r="AC38" i="1"/>
  <c r="AC36" i="1"/>
  <c r="AC34" i="1"/>
  <c r="AC32" i="1"/>
  <c r="AC30" i="1"/>
  <c r="AG30" i="1" s="1"/>
  <c r="AK30" i="1" s="1"/>
  <c r="AB29" i="1"/>
  <c r="AK28" i="1" s="1"/>
  <c r="AC28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1" i="1" s="1"/>
  <c r="AE44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Z19" i="1" s="1"/>
  <c r="AE42" i="1" s="1"/>
  <c r="D20" i="1"/>
  <c r="C20" i="1"/>
  <c r="B20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7" i="1" s="1"/>
  <c r="AE40" i="1" s="1"/>
  <c r="Z15" i="1"/>
  <c r="AE38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3" i="1" s="1"/>
  <c r="AE36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Z11" i="1"/>
  <c r="AE34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9" i="1" s="1"/>
  <c r="AE32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Z7" i="1" s="1"/>
  <c r="AE30" i="1" s="1"/>
  <c r="B8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Z5" i="1" s="1"/>
  <c r="AE28" i="1" s="1"/>
  <c r="AG28" i="1" s="1"/>
  <c r="G1" i="1"/>
  <c r="AG42" i="1" l="1"/>
  <c r="AK42" i="1" s="1"/>
  <c r="AG128" i="1"/>
  <c r="AK128" i="1" s="1"/>
  <c r="AG132" i="1"/>
  <c r="AK132" i="1" s="1"/>
  <c r="AG34" i="1"/>
  <c r="AK34" i="1" s="1"/>
  <c r="AG136" i="1"/>
  <c r="AK136" i="1" s="1"/>
  <c r="AG36" i="1"/>
  <c r="AK36" i="1" s="1"/>
  <c r="AG138" i="1"/>
  <c r="AK138" i="1" s="1"/>
  <c r="AG32" i="1"/>
  <c r="AK32" i="1" s="1"/>
  <c r="AG38" i="1"/>
  <c r="AK38" i="1" s="1"/>
  <c r="AG124" i="1"/>
  <c r="AK124" i="1" s="1"/>
  <c r="AG140" i="1"/>
  <c r="AK140" i="1" s="1"/>
</calcChain>
</file>

<file path=xl/sharedStrings.xml><?xml version="1.0" encoding="utf-8"?>
<sst xmlns="http://schemas.openxmlformats.org/spreadsheetml/2006/main" count="1275" uniqueCount="90">
  <si>
    <t>Name</t>
  </si>
  <si>
    <t>SEPT</t>
  </si>
  <si>
    <t>OCT</t>
  </si>
  <si>
    <t>NOV</t>
  </si>
  <si>
    <t>DEC</t>
  </si>
  <si>
    <t>JAN</t>
  </si>
  <si>
    <t>Totals</t>
  </si>
  <si>
    <t>tbd</t>
  </si>
  <si>
    <t>Gm#</t>
  </si>
  <si>
    <t>Lori Lynn</t>
  </si>
  <si>
    <t>PHI</t>
  </si>
  <si>
    <t>KC</t>
  </si>
  <si>
    <t>MIN</t>
  </si>
  <si>
    <t>LAR</t>
  </si>
  <si>
    <t>BAL</t>
  </si>
  <si>
    <t>DEN</t>
  </si>
  <si>
    <t>IND</t>
  </si>
  <si>
    <t>PIT</t>
  </si>
  <si>
    <t>HOU</t>
  </si>
  <si>
    <t>TB</t>
  </si>
  <si>
    <t>NYG</t>
  </si>
  <si>
    <t>BUF</t>
  </si>
  <si>
    <t>NYJ</t>
  </si>
  <si>
    <t>JAX</t>
  </si>
  <si>
    <t>DET</t>
  </si>
  <si>
    <t>DAL</t>
  </si>
  <si>
    <t>SEA</t>
  </si>
  <si>
    <t>SJay</t>
  </si>
  <si>
    <t>LAC</t>
  </si>
  <si>
    <t>CHI</t>
  </si>
  <si>
    <t>NE</t>
  </si>
  <si>
    <t>ARI</t>
  </si>
  <si>
    <t>WAS</t>
  </si>
  <si>
    <t>TEN</t>
  </si>
  <si>
    <t>SF</t>
  </si>
  <si>
    <t>Boots</t>
  </si>
  <si>
    <t>GB</t>
  </si>
  <si>
    <t>Colby</t>
  </si>
  <si>
    <t>LV</t>
  </si>
  <si>
    <t>Me</t>
  </si>
  <si>
    <t>Shelley</t>
  </si>
  <si>
    <t>NO</t>
  </si>
  <si>
    <t>Brian</t>
  </si>
  <si>
    <t>MIA</t>
  </si>
  <si>
    <t>ATL</t>
  </si>
  <si>
    <t>CAR</t>
  </si>
  <si>
    <t>Bloomers</t>
  </si>
  <si>
    <t>Winners</t>
  </si>
  <si>
    <t>Philadelphia Eagles</t>
  </si>
  <si>
    <t>NAME</t>
  </si>
  <si>
    <t>Divisional winners (2 pts each)</t>
  </si>
  <si>
    <t>Wildcard teams (3 pts each)</t>
  </si>
  <si>
    <t>Superbowl (3 pts)</t>
  </si>
  <si>
    <t>Superbowl
Champ 
(4 pts)</t>
  </si>
  <si>
    <t>Playoffs Total</t>
  </si>
  <si>
    <t>Regular Season Total</t>
  </si>
  <si>
    <t>TOTALITY</t>
  </si>
  <si>
    <t>Max Score</t>
  </si>
  <si>
    <t>AFC</t>
  </si>
  <si>
    <t>NFC</t>
  </si>
  <si>
    <t>Notes</t>
  </si>
  <si>
    <t>E</t>
  </si>
  <si>
    <t>N</t>
  </si>
  <si>
    <t>S</t>
  </si>
  <si>
    <t>W</t>
  </si>
  <si>
    <t>pp</t>
  </si>
  <si>
    <t>CIN</t>
  </si>
  <si>
    <t>Tom</t>
  </si>
  <si>
    <t>Karen</t>
  </si>
  <si>
    <t>Denise</t>
  </si>
  <si>
    <t>CLE</t>
  </si>
  <si>
    <t>Frank</t>
  </si>
  <si>
    <t>Tom C</t>
  </si>
  <si>
    <t>Carrie</t>
  </si>
  <si>
    <t>Al</t>
  </si>
  <si>
    <t>Kaleb</t>
  </si>
  <si>
    <t>Robyn</t>
  </si>
  <si>
    <t>Kyle</t>
  </si>
  <si>
    <t>AL</t>
  </si>
  <si>
    <t>Dave C</t>
  </si>
  <si>
    <t>Theresa</t>
  </si>
  <si>
    <t>Lisa B</t>
  </si>
  <si>
    <t>John</t>
  </si>
  <si>
    <t>Forrest</t>
  </si>
  <si>
    <t>Jesse</t>
  </si>
  <si>
    <t>Roberta</t>
  </si>
  <si>
    <t>William</t>
  </si>
  <si>
    <t>Joe</t>
  </si>
  <si>
    <t>Jessse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</si>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</sst>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lightGray">
        <bgColor indexed="9"/>
      </patternFill>
    </fill>
    <fill>
      <patternFill patternType="solid">
        <fgColor indexed="9"/>
        <bgColor theme="0"/>
      </patternFill>
    </fill>
    <fill>
      <patternFill patternType="gray0625">
        <bgColor indexed="9"/>
      </patternFill>
    </fill>
    <fill>
      <patternFill patternType="gray0625"/>
    </fill>
  </fills>
  <borders count="7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7">
    <xf numFmtId="0" fontId="0" fillId="0" borderId="0" xfId="0"/>
    <xf numFmtId="0" fontId="4" fillId="3" borderId="2" xfId="0" applyFont="1" applyFill="1" applyBorder="1" applyProtection="1">
      <protection locked="0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49" fontId="4" fillId="3" borderId="2" xfId="0" applyNumberFormat="1" applyFont="1" applyFill="1" applyBorder="1" applyProtection="1">
      <protection locked="0"/>
    </xf>
    <xf numFmtId="0" fontId="4" fillId="3" borderId="3" xfId="0" applyFont="1" applyFill="1" applyBorder="1" applyProtection="1"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Alignment="1" applyProtection="1">
      <alignment horizontal="center"/>
      <protection locked="0"/>
    </xf>
    <xf numFmtId="49" fontId="4" fillId="3" borderId="3" xfId="0" applyNumberFormat="1" applyFont="1" applyFill="1" applyBorder="1" applyProtection="1">
      <protection locked="0"/>
    </xf>
    <xf numFmtId="0" fontId="4" fillId="3" borderId="7" xfId="0" applyFont="1" applyFill="1" applyBorder="1" applyAlignment="1" applyProtection="1">
      <alignment horizontal="center"/>
      <protection locked="0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9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3" borderId="11" xfId="0" applyFont="1" applyFill="1" applyBorder="1" applyAlignment="1" applyProtection="1">
      <alignment horizontal="center"/>
      <protection locked="0"/>
    </xf>
    <xf numFmtId="0" fontId="4" fillId="3" borderId="12" xfId="0" applyFont="1" applyFill="1" applyBorder="1" applyAlignment="1" applyProtection="1">
      <alignment horizontal="center"/>
      <protection locked="0"/>
    </xf>
    <xf numFmtId="0" fontId="4" fillId="3" borderId="13" xfId="0" applyFont="1" applyFill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right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20" xfId="0" applyFont="1" applyBorder="1" applyAlignment="1" applyProtection="1">
      <alignment horizontal="center"/>
      <protection locked="0"/>
    </xf>
    <xf numFmtId="0" fontId="4" fillId="5" borderId="7" xfId="0" applyFont="1" applyFill="1" applyBorder="1" applyAlignment="1" applyProtection="1">
      <alignment horizontal="center"/>
      <protection locked="0"/>
    </xf>
    <xf numFmtId="0" fontId="4" fillId="5" borderId="12" xfId="0" applyFont="1" applyFill="1" applyBorder="1" applyAlignment="1" applyProtection="1">
      <alignment horizontal="center"/>
      <protection locked="0"/>
    </xf>
    <xf numFmtId="0" fontId="4" fillId="6" borderId="12" xfId="0" applyFont="1" applyFill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/>
      <protection locked="0"/>
    </xf>
    <xf numFmtId="0" fontId="3" fillId="0" borderId="30" xfId="0" applyFont="1" applyBorder="1" applyAlignment="1" applyProtection="1">
      <alignment horizontal="left"/>
      <protection locked="0"/>
    </xf>
    <xf numFmtId="0" fontId="8" fillId="0" borderId="31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42" xfId="0" applyFont="1" applyBorder="1"/>
    <xf numFmtId="0" fontId="0" fillId="0" borderId="6" xfId="0" applyBorder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1" xfId="0" applyFont="1" applyBorder="1"/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" xfId="0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2" fillId="0" borderId="0" xfId="0" applyFont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4" borderId="2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4" borderId="2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49" fontId="4" fillId="3" borderId="2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3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64" xfId="1" applyFill="1" applyBorder="1" applyAlignment="1">
      <alignment horizontal="center"/>
    </xf>
    <xf numFmtId="0" fontId="1" fillId="0" borderId="13" xfId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63" xfId="1" applyFill="1" applyBorder="1" applyAlignment="1">
      <alignment horizontal="center"/>
    </xf>
    <xf numFmtId="0" fontId="1" fillId="0" borderId="26" xfId="1" applyFill="1" applyBorder="1" applyAlignment="1">
      <alignment horizontal="center"/>
    </xf>
    <xf numFmtId="0" fontId="2" fillId="0" borderId="29" xfId="0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50CFA-A554-46AF-B7D7-4991B55531CB}">
  <dimension ref="A1:AY143"/>
  <sheetViews>
    <sheetView tabSelected="1" topLeftCell="A112" workbookViewId="0">
      <selection activeCell="AB125" sqref="AB125"/>
    </sheetView>
  </sheetViews>
  <sheetFormatPr defaultRowHeight="15" x14ac:dyDescent="0.25"/>
  <cols>
    <col min="2" max="39" width="4.5703125" customWidth="1"/>
    <col min="40" max="42" width="4.140625" customWidth="1"/>
    <col min="43" max="43" width="3.85546875" customWidth="1"/>
    <col min="44" max="45" width="3.7109375" customWidth="1"/>
    <col min="46" max="46" width="3.7109375" bestFit="1" customWidth="1"/>
    <col min="47" max="47" width="3.42578125" bestFit="1" customWidth="1"/>
    <col min="48" max="48" width="3" bestFit="1" customWidth="1"/>
    <col min="49" max="49" width="5.42578125" bestFit="1" customWidth="1"/>
  </cols>
  <sheetData>
    <row r="1" spans="1:27" ht="15.75" thickBot="1" x14ac:dyDescent="0.3">
      <c r="G1">
        <f>IF(G23="PHI",1,0)</f>
        <v>0</v>
      </c>
    </row>
    <row r="2" spans="1:27" ht="15" customHeight="1" thickTop="1" x14ac:dyDescent="0.25">
      <c r="A2" s="76" t="s">
        <v>0</v>
      </c>
      <c r="B2" s="1"/>
      <c r="C2" s="1"/>
      <c r="D2" s="78" t="s">
        <v>1</v>
      </c>
      <c r="E2" s="78"/>
      <c r="F2" s="3"/>
      <c r="G2" s="4"/>
      <c r="H2" s="2"/>
      <c r="I2" s="78" t="s">
        <v>2</v>
      </c>
      <c r="J2" s="78"/>
      <c r="K2" s="4"/>
      <c r="L2" s="5"/>
      <c r="M2" s="2"/>
      <c r="N2" s="78" t="s">
        <v>3</v>
      </c>
      <c r="O2" s="78"/>
      <c r="P2" s="3"/>
      <c r="Q2" s="6"/>
      <c r="R2" s="2"/>
      <c r="S2" s="2"/>
      <c r="T2" s="3" t="s">
        <v>4</v>
      </c>
      <c r="U2" s="5"/>
      <c r="V2" s="7"/>
      <c r="W2" s="3"/>
      <c r="X2" s="3" t="s">
        <v>5</v>
      </c>
      <c r="Y2" s="3"/>
      <c r="Z2" s="79" t="s">
        <v>6</v>
      </c>
      <c r="AA2" s="80"/>
    </row>
    <row r="3" spans="1:27" x14ac:dyDescent="0.25">
      <c r="A3" s="77"/>
      <c r="B3" s="8">
        <v>4</v>
      </c>
      <c r="C3" s="9">
        <v>5</v>
      </c>
      <c r="D3" s="9">
        <v>8</v>
      </c>
      <c r="E3" s="9">
        <v>14</v>
      </c>
      <c r="F3" s="9">
        <v>22</v>
      </c>
      <c r="G3" s="10">
        <v>29</v>
      </c>
      <c r="H3" s="8">
        <v>5</v>
      </c>
      <c r="I3" s="11">
        <v>12</v>
      </c>
      <c r="J3" s="9">
        <v>20</v>
      </c>
      <c r="K3" s="10">
        <v>26</v>
      </c>
      <c r="L3" s="11">
        <v>2</v>
      </c>
      <c r="M3" s="9">
        <v>9</v>
      </c>
      <c r="N3" s="9">
        <v>13</v>
      </c>
      <c r="O3" s="9">
        <v>23</v>
      </c>
      <c r="P3" s="9">
        <v>27</v>
      </c>
      <c r="Q3" s="12">
        <v>27</v>
      </c>
      <c r="R3" s="11">
        <v>7</v>
      </c>
      <c r="S3" s="13">
        <v>11</v>
      </c>
      <c r="T3" s="13">
        <v>18</v>
      </c>
      <c r="U3" s="13">
        <v>21</v>
      </c>
      <c r="V3" s="14">
        <v>25</v>
      </c>
      <c r="W3" s="11" t="s">
        <v>7</v>
      </c>
      <c r="X3" s="9" t="s">
        <v>7</v>
      </c>
      <c r="Y3" s="13" t="s">
        <v>7</v>
      </c>
      <c r="Z3" s="81"/>
      <c r="AA3" s="82"/>
    </row>
    <row r="4" spans="1:27" ht="15.75" thickBot="1" x14ac:dyDescent="0.3">
      <c r="A4" s="15" t="s">
        <v>8</v>
      </c>
      <c r="B4" s="16">
        <v>1</v>
      </c>
      <c r="C4" s="17">
        <v>2</v>
      </c>
      <c r="D4" s="17">
        <v>3</v>
      </c>
      <c r="E4" s="17">
        <v>4</v>
      </c>
      <c r="F4" s="17">
        <v>5</v>
      </c>
      <c r="G4" s="18">
        <v>6</v>
      </c>
      <c r="H4" s="19">
        <v>7</v>
      </c>
      <c r="I4" s="19">
        <v>8</v>
      </c>
      <c r="J4" s="17">
        <v>9</v>
      </c>
      <c r="K4" s="18">
        <v>10</v>
      </c>
      <c r="L4" s="19">
        <v>11</v>
      </c>
      <c r="M4" s="17">
        <v>12</v>
      </c>
      <c r="N4" s="17">
        <v>13</v>
      </c>
      <c r="O4" s="17">
        <v>14</v>
      </c>
      <c r="P4" s="17">
        <v>15</v>
      </c>
      <c r="Q4" s="18">
        <v>16</v>
      </c>
      <c r="R4" s="19">
        <v>17</v>
      </c>
      <c r="S4" s="17">
        <v>18</v>
      </c>
      <c r="T4" s="17">
        <v>19</v>
      </c>
      <c r="U4" s="19">
        <v>20</v>
      </c>
      <c r="V4" s="18">
        <v>21</v>
      </c>
      <c r="W4" s="19">
        <v>22</v>
      </c>
      <c r="X4" s="17">
        <v>23</v>
      </c>
      <c r="Y4" s="17">
        <v>24</v>
      </c>
      <c r="Z4" s="83"/>
      <c r="AA4" s="84"/>
    </row>
    <row r="5" spans="1:27" x14ac:dyDescent="0.25">
      <c r="A5" s="85" t="s">
        <v>9</v>
      </c>
      <c r="B5" s="20" t="s">
        <v>10</v>
      </c>
      <c r="C5" s="21" t="s">
        <v>11</v>
      </c>
      <c r="D5" s="21" t="s">
        <v>12</v>
      </c>
      <c r="E5" s="21" t="s">
        <v>13</v>
      </c>
      <c r="F5" s="21" t="s">
        <v>14</v>
      </c>
      <c r="G5" s="21" t="s">
        <v>15</v>
      </c>
      <c r="H5" s="21" t="s">
        <v>16</v>
      </c>
      <c r="I5" s="21" t="s">
        <v>17</v>
      </c>
      <c r="J5" s="21" t="s">
        <v>18</v>
      </c>
      <c r="K5" s="21" t="s">
        <v>19</v>
      </c>
      <c r="L5" s="21" t="s">
        <v>20</v>
      </c>
      <c r="M5" s="21" t="s">
        <v>21</v>
      </c>
      <c r="N5" s="21" t="s">
        <v>22</v>
      </c>
      <c r="O5" s="21" t="s">
        <v>23</v>
      </c>
      <c r="P5" s="21" t="s">
        <v>24</v>
      </c>
      <c r="Q5" s="21" t="s">
        <v>11</v>
      </c>
      <c r="R5" s="21" t="s">
        <v>17</v>
      </c>
      <c r="S5" s="21" t="s">
        <v>19</v>
      </c>
      <c r="T5" s="22" t="s">
        <v>13</v>
      </c>
      <c r="U5" s="21" t="s">
        <v>19</v>
      </c>
      <c r="V5" s="21" t="s">
        <v>25</v>
      </c>
      <c r="W5" s="21" t="s">
        <v>15</v>
      </c>
      <c r="X5" s="21" t="s">
        <v>23</v>
      </c>
      <c r="Y5" s="21" t="s">
        <v>26</v>
      </c>
      <c r="Z5" s="70">
        <f>SUM(B6:Y6)</f>
        <v>1</v>
      </c>
      <c r="AA5" s="71"/>
    </row>
    <row r="6" spans="1:27" ht="15.75" thickBot="1" x14ac:dyDescent="0.3">
      <c r="A6" s="69"/>
      <c r="B6" s="23">
        <f>IF(B23="Philadelphia Eagles",1,0)</f>
        <v>1</v>
      </c>
      <c r="C6" s="24">
        <f>IF(C23="Kansas City Chiefs",1,0)</f>
        <v>0</v>
      </c>
      <c r="D6" s="24">
        <f>IF(D23="Minnesota Vikings",1,0)</f>
        <v>0</v>
      </c>
      <c r="E6" s="24">
        <f>IF(E23="Los Angeles Rams",1,0)</f>
        <v>0</v>
      </c>
      <c r="F6" s="24">
        <f>IF(F23="Baltimore Ravens",1,0)</f>
        <v>0</v>
      </c>
      <c r="G6" s="24">
        <f>IF(G23="New York Jets",1,0)</f>
        <v>0</v>
      </c>
      <c r="H6" s="24">
        <f>IF(H23="Buffalo Bills",1,0)</f>
        <v>0</v>
      </c>
      <c r="I6" s="24">
        <f>IF(I23="CIN",1,0)</f>
        <v>0</v>
      </c>
      <c r="J6" s="24">
        <f>IF(J23="Dallas Cowboys",1,0)</f>
        <v>0</v>
      </c>
      <c r="K6" s="24">
        <f>IF(K23="Tennessee Titans",1,0)</f>
        <v>0</v>
      </c>
      <c r="L6" s="24">
        <f>IF(L23="TB",1,0)</f>
        <v>0</v>
      </c>
      <c r="M6" s="24">
        <f>IF(M23="Kansas City Chiefs",1,0)</f>
        <v>0</v>
      </c>
      <c r="N6" s="24">
        <f>IF(N23="San Francisco 49ers",1,0)</f>
        <v>0</v>
      </c>
      <c r="O6" s="24">
        <f>IF(O23="Buffalo Bills",1,0)</f>
        <v>0</v>
      </c>
      <c r="P6" s="24">
        <f>IF(P23="Denver Broncos",1,0)</f>
        <v>0</v>
      </c>
      <c r="Q6" s="24">
        <f>IF(Q23="LAC",1,0)</f>
        <v>0</v>
      </c>
      <c r="R6" s="24">
        <f>IF(R23="Los Angeles Rams",1,0)</f>
        <v>0</v>
      </c>
      <c r="S6" s="24">
        <f>IF(S23="Pittsburgh Steelers",1,0)</f>
        <v>0</v>
      </c>
      <c r="T6" s="24">
        <f>IF(T23="HOU",1,0)</f>
        <v>0</v>
      </c>
      <c r="U6" s="24">
        <f>IF(U23="Kansas City Chiefs",1,0)</f>
        <v>0</v>
      </c>
      <c r="V6" s="24">
        <f>IF(V23="Baltimore Ravens",1,0)</f>
        <v>0</v>
      </c>
      <c r="W6" s="24">
        <f>IF(W23="LAR",1,0)</f>
        <v>0</v>
      </c>
      <c r="X6" s="24">
        <f>IF(X23="Philadelphia Eagles",1,0)</f>
        <v>0</v>
      </c>
      <c r="Y6" s="24">
        <f>IF(Y23="Houston Texans",1,0)</f>
        <v>0</v>
      </c>
      <c r="Z6" s="72"/>
      <c r="AA6" s="73"/>
    </row>
    <row r="7" spans="1:27" x14ac:dyDescent="0.25">
      <c r="A7" s="68" t="s">
        <v>27</v>
      </c>
      <c r="B7" s="20" t="s">
        <v>10</v>
      </c>
      <c r="C7" s="21" t="s">
        <v>28</v>
      </c>
      <c r="D7" s="21" t="s">
        <v>29</v>
      </c>
      <c r="E7" s="21" t="s">
        <v>13</v>
      </c>
      <c r="F7" s="21" t="s">
        <v>14</v>
      </c>
      <c r="G7" s="21" t="s">
        <v>15</v>
      </c>
      <c r="H7" s="21" t="s">
        <v>16</v>
      </c>
      <c r="I7" s="21" t="s">
        <v>17</v>
      </c>
      <c r="J7" s="21" t="s">
        <v>18</v>
      </c>
      <c r="K7" s="21" t="s">
        <v>19</v>
      </c>
      <c r="L7" s="21" t="s">
        <v>20</v>
      </c>
      <c r="M7" s="21" t="s">
        <v>21</v>
      </c>
      <c r="N7" s="21" t="s">
        <v>30</v>
      </c>
      <c r="O7" s="21" t="s">
        <v>31</v>
      </c>
      <c r="P7" s="21" t="s">
        <v>24</v>
      </c>
      <c r="Q7" s="21" t="s">
        <v>11</v>
      </c>
      <c r="R7" s="21" t="s">
        <v>14</v>
      </c>
      <c r="S7" s="21" t="s">
        <v>19</v>
      </c>
      <c r="T7" s="22" t="s">
        <v>13</v>
      </c>
      <c r="U7" s="21" t="s">
        <v>19</v>
      </c>
      <c r="V7" s="21" t="s">
        <v>32</v>
      </c>
      <c r="W7" s="21" t="s">
        <v>15</v>
      </c>
      <c r="X7" s="21" t="s">
        <v>33</v>
      </c>
      <c r="Y7" s="21" t="s">
        <v>34</v>
      </c>
      <c r="Z7" s="70">
        <f>SUM(B8:Y8)</f>
        <v>1</v>
      </c>
      <c r="AA7" s="71"/>
    </row>
    <row r="8" spans="1:27" ht="15.75" thickBot="1" x14ac:dyDescent="0.3">
      <c r="A8" s="69"/>
      <c r="B8" s="23">
        <f>IF(B23="Philadelphia Eagles",1,0)</f>
        <v>1</v>
      </c>
      <c r="C8" s="24">
        <f>IF(C23="Kansas City Chiefs",1,0)</f>
        <v>0</v>
      </c>
      <c r="D8" s="24">
        <f>IF(D23="Minnesota Vikings",1,0)</f>
        <v>0</v>
      </c>
      <c r="E8" s="24">
        <f>IF(E23="Los Angeles Rams",1,0)</f>
        <v>0</v>
      </c>
      <c r="F8" s="24">
        <f>IF(F25="Baltimore Ravens",1,0)</f>
        <v>0</v>
      </c>
      <c r="G8" s="24">
        <f>IF(G23="New York Jets",1,0)</f>
        <v>0</v>
      </c>
      <c r="H8" s="24">
        <f>IF(H23="Buffalo Bills",1,0)</f>
        <v>0</v>
      </c>
      <c r="I8" s="24">
        <f>IF(I23="CIN",1,0)</f>
        <v>0</v>
      </c>
      <c r="J8" s="24">
        <f>IF(J23="Dallas Cowboys",1,0)</f>
        <v>0</v>
      </c>
      <c r="K8" s="24">
        <f>IF(K23="MIA",1,0)</f>
        <v>0</v>
      </c>
      <c r="L8" s="24">
        <f>IF(L23="TB",1,0)</f>
        <v>0</v>
      </c>
      <c r="M8" s="24">
        <f>IF(M23="Kansas City Chiefs",1,0)</f>
        <v>0</v>
      </c>
      <c r="N8" s="24">
        <f>IF(N23="San Francisco 49ers",1,0)</f>
        <v>0</v>
      </c>
      <c r="O8" s="24">
        <f>IF(O23="Buffalo Bills",1,0)</f>
        <v>0</v>
      </c>
      <c r="P8" s="24">
        <f>IF(P23="Denver Broncos",1,0)</f>
        <v>0</v>
      </c>
      <c r="Q8" s="24">
        <f>IF(Q23="LAC",1,0)</f>
        <v>0</v>
      </c>
      <c r="R8" s="24">
        <f>IF(R23="Los Angeles Rams",1,0)</f>
        <v>0</v>
      </c>
      <c r="S8" s="24">
        <f>IF(S23="Pittsburgh Steelers",1,0)</f>
        <v>0</v>
      </c>
      <c r="T8" s="24">
        <f>IF(T23="HOU",1,0)</f>
        <v>0</v>
      </c>
      <c r="U8" s="24">
        <f>IF(U23="Kansas City Chiefs",1,0)</f>
        <v>0</v>
      </c>
      <c r="V8" s="24">
        <f>IF(V23="Baltimore Ravens",1,0)</f>
        <v>0</v>
      </c>
      <c r="W8" s="24">
        <f>IF(W23="LAR",1,0)</f>
        <v>0</v>
      </c>
      <c r="X8" s="24">
        <f>IF(X23="Philadelphia Eagles",1,0)</f>
        <v>0</v>
      </c>
      <c r="Y8" s="25">
        <f>IF(Y23="DAL",1,0)</f>
        <v>0</v>
      </c>
      <c r="Z8" s="72"/>
      <c r="AA8" s="73"/>
    </row>
    <row r="9" spans="1:27" x14ac:dyDescent="0.25">
      <c r="A9" s="74" t="s">
        <v>35</v>
      </c>
      <c r="B9" s="26" t="s">
        <v>10</v>
      </c>
      <c r="C9" s="21" t="s">
        <v>28</v>
      </c>
      <c r="D9" s="21" t="s">
        <v>29</v>
      </c>
      <c r="E9" s="21" t="s">
        <v>33</v>
      </c>
      <c r="F9" s="21" t="s">
        <v>14</v>
      </c>
      <c r="G9" s="21" t="s">
        <v>15</v>
      </c>
      <c r="H9" s="21" t="s">
        <v>16</v>
      </c>
      <c r="I9" s="21" t="s">
        <v>17</v>
      </c>
      <c r="J9" s="21" t="s">
        <v>18</v>
      </c>
      <c r="K9" s="21" t="s">
        <v>19</v>
      </c>
      <c r="L9" s="21" t="s">
        <v>20</v>
      </c>
      <c r="M9" s="21" t="s">
        <v>21</v>
      </c>
      <c r="N9" s="21" t="s">
        <v>30</v>
      </c>
      <c r="O9" s="21" t="s">
        <v>31</v>
      </c>
      <c r="P9" s="21" t="s">
        <v>36</v>
      </c>
      <c r="Q9" s="21" t="s">
        <v>11</v>
      </c>
      <c r="R9" s="21" t="s">
        <v>14</v>
      </c>
      <c r="S9" s="21" t="s">
        <v>19</v>
      </c>
      <c r="T9" s="22" t="s">
        <v>13</v>
      </c>
      <c r="U9" s="21" t="s">
        <v>19</v>
      </c>
      <c r="V9" s="21" t="s">
        <v>25</v>
      </c>
      <c r="W9" s="21" t="s">
        <v>15</v>
      </c>
      <c r="X9" s="21" t="s">
        <v>33</v>
      </c>
      <c r="Y9" s="21" t="s">
        <v>34</v>
      </c>
      <c r="Z9" s="70">
        <f>SUM(B10:Y10)</f>
        <v>1</v>
      </c>
      <c r="AA9" s="71"/>
    </row>
    <row r="10" spans="1:27" ht="15.75" thickBot="1" x14ac:dyDescent="0.3">
      <c r="A10" s="75"/>
      <c r="B10" s="23">
        <f>IF(B23="Philadelphia Eagles",1,0)</f>
        <v>1</v>
      </c>
      <c r="C10" s="24">
        <f>IF(C23="Kansas City Chiefs",1,0)</f>
        <v>0</v>
      </c>
      <c r="D10" s="24">
        <f>IF(D23="Minnesota Vikings",1,0)</f>
        <v>0</v>
      </c>
      <c r="E10" s="24">
        <f>IF(E23="Los Angeles Rams",1,0)</f>
        <v>0</v>
      </c>
      <c r="F10" s="24">
        <f>IF(F27="Baltimore Ravens",1,0)</f>
        <v>0</v>
      </c>
      <c r="G10" s="24">
        <f>IF(G23="New York Jets",1,0)</f>
        <v>0</v>
      </c>
      <c r="H10" s="24">
        <f>IF(H23="Buffalo Bills",1,0)</f>
        <v>0</v>
      </c>
      <c r="I10" s="24">
        <f>IF(I23="CIN",1,0)</f>
        <v>0</v>
      </c>
      <c r="J10" s="24">
        <f>IF(J23="Dallas Cowboys",1,0)</f>
        <v>0</v>
      </c>
      <c r="K10" s="24">
        <f>IF(K23="MIA",1,0)</f>
        <v>0</v>
      </c>
      <c r="L10" s="24">
        <f>IF(L23="Atlanta Falcons",1,0)</f>
        <v>0</v>
      </c>
      <c r="M10" s="24">
        <f>IF(M23="Kansas City Chiefs",1,0)</f>
        <v>0</v>
      </c>
      <c r="N10" s="24">
        <f>IF(N23="San Francisco 49ers",1,0)</f>
        <v>0</v>
      </c>
      <c r="O10" s="24">
        <f>IF(O23="Buffalo Bills",1,0)</f>
        <v>0</v>
      </c>
      <c r="P10" s="24">
        <f>IF(P23="NO",1,0)</f>
        <v>0</v>
      </c>
      <c r="Q10" s="24">
        <f>IF(Q23="LAC",1,0)</f>
        <v>0</v>
      </c>
      <c r="R10" s="24">
        <f>IF(R23="Los Angeles Rams",1,0)</f>
        <v>0</v>
      </c>
      <c r="S10" s="24">
        <f>IF(S23="Pittsburgh Steelers",1,0)</f>
        <v>0</v>
      </c>
      <c r="T10" s="24">
        <f>IF(T23="HOU",1,0)</f>
        <v>0</v>
      </c>
      <c r="U10" s="24">
        <f>IF(U23="Kansas City Chiefs",1,0)</f>
        <v>0</v>
      </c>
      <c r="V10" s="24">
        <f>IF(V23="CIN",1,0)</f>
        <v>0</v>
      </c>
      <c r="W10" s="24">
        <f>IF(W23="Miami Dolphins",1,0)</f>
        <v>0</v>
      </c>
      <c r="X10" s="24">
        <f>IF(X23="Philadelphia Eagles",1,0)</f>
        <v>0</v>
      </c>
      <c r="Y10" s="25">
        <f>IF(Y23="DAL",1,0)</f>
        <v>0</v>
      </c>
      <c r="Z10" s="72"/>
      <c r="AA10" s="73"/>
    </row>
    <row r="11" spans="1:27" x14ac:dyDescent="0.25">
      <c r="A11" s="68" t="s">
        <v>37</v>
      </c>
      <c r="B11" s="20" t="s">
        <v>10</v>
      </c>
      <c r="C11" s="21" t="s">
        <v>28</v>
      </c>
      <c r="D11" s="21" t="s">
        <v>12</v>
      </c>
      <c r="E11" s="21" t="s">
        <v>13</v>
      </c>
      <c r="F11" s="21" t="s">
        <v>14</v>
      </c>
      <c r="G11" s="21" t="s">
        <v>15</v>
      </c>
      <c r="H11" s="21" t="s">
        <v>38</v>
      </c>
      <c r="I11" s="21" t="s">
        <v>17</v>
      </c>
      <c r="J11" s="21" t="s">
        <v>18</v>
      </c>
      <c r="K11" s="21" t="s">
        <v>19</v>
      </c>
      <c r="L11" s="21" t="s">
        <v>34</v>
      </c>
      <c r="M11" s="21" t="s">
        <v>21</v>
      </c>
      <c r="N11" s="21" t="s">
        <v>30</v>
      </c>
      <c r="O11" s="21" t="s">
        <v>31</v>
      </c>
      <c r="P11" s="21" t="s">
        <v>24</v>
      </c>
      <c r="Q11" s="21" t="s">
        <v>11</v>
      </c>
      <c r="R11" s="21" t="s">
        <v>14</v>
      </c>
      <c r="S11" s="21" t="s">
        <v>19</v>
      </c>
      <c r="T11" s="22" t="s">
        <v>13</v>
      </c>
      <c r="U11" s="21" t="s">
        <v>19</v>
      </c>
      <c r="V11" s="21" t="s">
        <v>32</v>
      </c>
      <c r="W11" s="21" t="s">
        <v>15</v>
      </c>
      <c r="X11" s="21" t="s">
        <v>23</v>
      </c>
      <c r="Y11" s="21" t="s">
        <v>34</v>
      </c>
      <c r="Z11" s="70">
        <f>SUM(B12:Y12)</f>
        <v>1</v>
      </c>
      <c r="AA11" s="71"/>
    </row>
    <row r="12" spans="1:27" ht="15.75" thickBot="1" x14ac:dyDescent="0.3">
      <c r="A12" s="69"/>
      <c r="B12" s="23">
        <f>IF(B23="Philadelphia Eagles",1,0)</f>
        <v>1</v>
      </c>
      <c r="C12" s="24">
        <f>IF(C23="Kansas City Chiefs",1,0)</f>
        <v>0</v>
      </c>
      <c r="D12" s="24">
        <f>IF(D23="Minnesota Vikings",1,0)</f>
        <v>0</v>
      </c>
      <c r="E12" s="24">
        <f>IF(E23="Los Angeles Rams",1,0)</f>
        <v>0</v>
      </c>
      <c r="F12" s="24">
        <f>IF(F29="Baltimore Ravens",1,0)</f>
        <v>0</v>
      </c>
      <c r="G12" s="24">
        <f>IF(G23="New York Jets",1,0)</f>
        <v>0</v>
      </c>
      <c r="H12" s="24">
        <f>IF(H23="Buffalo Bills",1,0)</f>
        <v>0</v>
      </c>
      <c r="I12" s="24">
        <f>IF(I23="CIN",1,0)</f>
        <v>0</v>
      </c>
      <c r="J12" s="24">
        <f>IF(J23="Dallas Cowboys",1,0)</f>
        <v>0</v>
      </c>
      <c r="K12" s="24">
        <f>IF(K23="MIA",1,0)</f>
        <v>0</v>
      </c>
      <c r="L12" s="24">
        <f>IF(L23="Atlanta Falcons",1,0)</f>
        <v>0</v>
      </c>
      <c r="M12" s="24">
        <f>IF(M23="Kansas City Chiefs",1,0)</f>
        <v>0</v>
      </c>
      <c r="N12" s="24">
        <f>IF(N23="San Francisco 49ers",1,0)</f>
        <v>0</v>
      </c>
      <c r="O12" s="24">
        <f>IF(O23="Buffalo Bills",1,0)</f>
        <v>0</v>
      </c>
      <c r="P12" s="24">
        <f>IF(P23="Denver Broncos",1,0)</f>
        <v>0</v>
      </c>
      <c r="Q12" s="24">
        <f>IF(Q23="LAC",1,0)</f>
        <v>0</v>
      </c>
      <c r="R12" s="24">
        <f>IF(R23="Los Angeles Rams",1,0)</f>
        <v>0</v>
      </c>
      <c r="S12" s="24">
        <f>IF(S23="Pittsburgh Steelers",1,0)</f>
        <v>0</v>
      </c>
      <c r="T12" s="24">
        <f>IF(T23="New York Jets",1,0)</f>
        <v>0</v>
      </c>
      <c r="U12" s="24">
        <f>IF(U23="Kansas City Chiefs",1,0)</f>
        <v>0</v>
      </c>
      <c r="V12" s="24">
        <f>IF(V23="CIN",1,0)</f>
        <v>0</v>
      </c>
      <c r="W12" s="24">
        <f>IF(W23="Miami Dolphins",1,0)</f>
        <v>0</v>
      </c>
      <c r="X12" s="24">
        <f>IF(X23="Philadelphia Eagles",1,0)</f>
        <v>0</v>
      </c>
      <c r="Y12" s="25">
        <f>IF(Y23="DAL",1,0)</f>
        <v>0</v>
      </c>
      <c r="Z12" s="72"/>
      <c r="AA12" s="73"/>
    </row>
    <row r="13" spans="1:27" x14ac:dyDescent="0.25">
      <c r="A13" s="68" t="s">
        <v>39</v>
      </c>
      <c r="B13" s="20" t="s">
        <v>10</v>
      </c>
      <c r="C13" s="21" t="s">
        <v>11</v>
      </c>
      <c r="D13" s="21" t="s">
        <v>29</v>
      </c>
      <c r="E13" s="21" t="s">
        <v>13</v>
      </c>
      <c r="F13" s="21" t="s">
        <v>14</v>
      </c>
      <c r="G13" s="21" t="s">
        <v>15</v>
      </c>
      <c r="H13" s="21" t="s">
        <v>38</v>
      </c>
      <c r="I13" s="21" t="s">
        <v>17</v>
      </c>
      <c r="J13" s="21" t="s">
        <v>18</v>
      </c>
      <c r="K13" s="21" t="s">
        <v>19</v>
      </c>
      <c r="L13" s="21" t="s">
        <v>20</v>
      </c>
      <c r="M13" s="21" t="s">
        <v>21</v>
      </c>
      <c r="N13" s="21" t="s">
        <v>30</v>
      </c>
      <c r="O13" s="21" t="s">
        <v>31</v>
      </c>
      <c r="P13" s="21" t="s">
        <v>24</v>
      </c>
      <c r="Q13" s="21" t="s">
        <v>11</v>
      </c>
      <c r="R13" s="21" t="s">
        <v>14</v>
      </c>
      <c r="S13" s="21" t="s">
        <v>19</v>
      </c>
      <c r="T13" s="22" t="s">
        <v>13</v>
      </c>
      <c r="U13" s="21" t="s">
        <v>19</v>
      </c>
      <c r="V13" s="21" t="s">
        <v>32</v>
      </c>
      <c r="W13" s="21" t="s">
        <v>15</v>
      </c>
      <c r="X13" s="21" t="s">
        <v>23</v>
      </c>
      <c r="Y13" s="21" t="s">
        <v>34</v>
      </c>
      <c r="Z13" s="70">
        <f>SUM(B14:Y14)</f>
        <v>1</v>
      </c>
      <c r="AA13" s="71"/>
    </row>
    <row r="14" spans="1:27" ht="15.75" thickBot="1" x14ac:dyDescent="0.3">
      <c r="A14" s="69"/>
      <c r="B14" s="23">
        <f>IF(B23="Philadelphia Eagles",1,0)</f>
        <v>1</v>
      </c>
      <c r="C14" s="24">
        <f>IF(C23="Kansas City Chiefs",1,0)</f>
        <v>0</v>
      </c>
      <c r="D14" s="24">
        <f>IF(D23="Minnesota Vikings",1,0)</f>
        <v>0</v>
      </c>
      <c r="E14" s="24">
        <f>IF(E23="Los Angeles Rams",1,0)</f>
        <v>0</v>
      </c>
      <c r="F14" s="24">
        <f>IF(F31="Baltimore Ravens",1,0)</f>
        <v>0</v>
      </c>
      <c r="G14" s="24">
        <f>IF(G23="New York Jets",1,0)</f>
        <v>0</v>
      </c>
      <c r="H14" s="24">
        <f>IF(H23="Buffalo Bills",1,0)</f>
        <v>0</v>
      </c>
      <c r="I14" s="24">
        <f>IF(I23="CIN",1,0)</f>
        <v>0</v>
      </c>
      <c r="J14" s="24">
        <f>IF(J23="Dallas Cowboys",1,0)</f>
        <v>0</v>
      </c>
      <c r="K14" s="24">
        <f>IF(K23="MIA",1,0)</f>
        <v>0</v>
      </c>
      <c r="L14" s="24">
        <f>IF(L23="TB",1,0)</f>
        <v>0</v>
      </c>
      <c r="M14" s="24">
        <f>IF(M23="Kansas City Chiefs",1,0)</f>
        <v>0</v>
      </c>
      <c r="N14" s="24">
        <f>IF(N23="San Francisco 49ers",1,0)</f>
        <v>0</v>
      </c>
      <c r="O14" s="24">
        <f>IF(O23="Buffalo Bills",1,0)</f>
        <v>0</v>
      </c>
      <c r="P14" s="24">
        <f>IF(P23="Denver Broncos",1,0)</f>
        <v>0</v>
      </c>
      <c r="Q14" s="24">
        <f>IF(Q23="LAC",1,0)</f>
        <v>0</v>
      </c>
      <c r="R14" s="24">
        <f>IF(R23="Los Angeles Rams",1,0)</f>
        <v>0</v>
      </c>
      <c r="S14" s="24">
        <f>IF(S23="Pittsburgh Steelers",1,0)</f>
        <v>0</v>
      </c>
      <c r="T14" s="24">
        <f>IF(T23="New York Jets",1,0)</f>
        <v>0</v>
      </c>
      <c r="U14" s="24">
        <f>IF(U23="Kansas City Chiefs",1,0)</f>
        <v>0</v>
      </c>
      <c r="V14" s="24">
        <f>IF(V23="Baltimore Ravens",1,0)</f>
        <v>0</v>
      </c>
      <c r="W14" s="24">
        <f>IF(W23="LAR",1,0)</f>
        <v>0</v>
      </c>
      <c r="X14" s="24">
        <f>IF(X23="Philadelphia Eagles",1,0)</f>
        <v>0</v>
      </c>
      <c r="Y14" s="25">
        <f>IF(Y23="DAL",1,0)</f>
        <v>0</v>
      </c>
      <c r="Z14" s="72"/>
      <c r="AA14" s="73"/>
    </row>
    <row r="15" spans="1:27" x14ac:dyDescent="0.25">
      <c r="A15" s="74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2"/>
      <c r="U15" s="21"/>
      <c r="V15" s="21"/>
      <c r="W15" s="21"/>
      <c r="X15" s="21"/>
      <c r="Y15" s="21"/>
      <c r="Z15" s="70">
        <f>SUM(B16:Y16)</f>
        <v>0</v>
      </c>
      <c r="AA15" s="71"/>
    </row>
    <row r="16" spans="1:27" ht="15.75" thickBot="1" x14ac:dyDescent="0.3">
      <c r="A16" s="75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5"/>
      <c r="Z16" s="72"/>
      <c r="AA16" s="73"/>
    </row>
    <row r="17" spans="1:51" x14ac:dyDescent="0.25">
      <c r="A17" s="68" t="s">
        <v>40</v>
      </c>
      <c r="B17" s="20" t="s">
        <v>10</v>
      </c>
      <c r="C17" s="21" t="s">
        <v>28</v>
      </c>
      <c r="D17" s="21" t="s">
        <v>12</v>
      </c>
      <c r="E17" s="21" t="s">
        <v>13</v>
      </c>
      <c r="F17" s="21" t="s">
        <v>14</v>
      </c>
      <c r="G17" s="21" t="s">
        <v>15</v>
      </c>
      <c r="H17" s="21" t="s">
        <v>16</v>
      </c>
      <c r="I17" s="21" t="s">
        <v>17</v>
      </c>
      <c r="J17" s="21" t="s">
        <v>26</v>
      </c>
      <c r="K17" s="21" t="s">
        <v>41</v>
      </c>
      <c r="L17" s="21" t="s">
        <v>34</v>
      </c>
      <c r="M17" s="21" t="s">
        <v>21</v>
      </c>
      <c r="N17" s="21" t="s">
        <v>30</v>
      </c>
      <c r="O17" s="21" t="s">
        <v>31</v>
      </c>
      <c r="P17" s="21" t="s">
        <v>24</v>
      </c>
      <c r="Q17" s="21" t="s">
        <v>25</v>
      </c>
      <c r="R17" s="21" t="s">
        <v>14</v>
      </c>
      <c r="S17" s="21" t="s">
        <v>19</v>
      </c>
      <c r="T17" s="22" t="s">
        <v>26</v>
      </c>
      <c r="U17" s="21" t="s">
        <v>19</v>
      </c>
      <c r="V17" s="21" t="s">
        <v>25</v>
      </c>
      <c r="W17" s="21" t="s">
        <v>28</v>
      </c>
      <c r="X17" s="21" t="s">
        <v>23</v>
      </c>
      <c r="Y17" s="21" t="s">
        <v>26</v>
      </c>
      <c r="Z17" s="70">
        <f>SUM(B18:Y18)</f>
        <v>1</v>
      </c>
      <c r="AA17" s="71"/>
    </row>
    <row r="18" spans="1:51" ht="15.75" thickBot="1" x14ac:dyDescent="0.3">
      <c r="A18" s="69"/>
      <c r="B18" s="23">
        <f>IF(B23="Philadelphia Eagles",1,0)</f>
        <v>1</v>
      </c>
      <c r="C18" s="24">
        <f>IF(C23="Kansas City Chiefs",1,0)</f>
        <v>0</v>
      </c>
      <c r="D18" s="24">
        <f>IF(D23="Minnesota Vikings",1,0)</f>
        <v>0</v>
      </c>
      <c r="E18" s="24">
        <f>IF(E23="Los Angeles Rams",1,0)</f>
        <v>0</v>
      </c>
      <c r="F18" s="24">
        <f>IF(F35="Baltimore Ravens",1,0)</f>
        <v>0</v>
      </c>
      <c r="G18" s="24">
        <f>IF(G23="NE",1,0)</f>
        <v>0</v>
      </c>
      <c r="H18" s="24">
        <f>IF(H23="JAX",1,0)</f>
        <v>0</v>
      </c>
      <c r="I18" s="24">
        <f>IF(I23="CIN",1,0)</f>
        <v>0</v>
      </c>
      <c r="J18" s="24">
        <f>IF(J23="Dallas Cowboys",1,0)</f>
        <v>0</v>
      </c>
      <c r="K18" s="24">
        <f>IF(K23="Tennessee Titans",1,0)</f>
        <v>0</v>
      </c>
      <c r="L18" s="24">
        <f>IF(L23="Atlanta Falcons",1,0)</f>
        <v>0</v>
      </c>
      <c r="M18" s="24">
        <f>IF(M23="Kansas City Chiefs",1,0)</f>
        <v>0</v>
      </c>
      <c r="N18" s="24">
        <f>IF(N23="SEA",1,0)</f>
        <v>0</v>
      </c>
      <c r="O18" s="24">
        <f>IF(O23="Buffalo Bills",1,0)</f>
        <v>0</v>
      </c>
      <c r="P18" s="24">
        <f>IF(P23="NO",1,0)</f>
        <v>0</v>
      </c>
      <c r="Q18" s="24">
        <f>IF(Q23="LAC",1,0)</f>
        <v>0</v>
      </c>
      <c r="R18" s="24">
        <f>IF(R23="Los Angeles Rams",1,0)</f>
        <v>0</v>
      </c>
      <c r="S18" s="24">
        <f>IF(S23="Pittsburgh Steelers",1,0)</f>
        <v>0</v>
      </c>
      <c r="T18" s="24">
        <f>IF(T23="HOU",1,0)</f>
        <v>0</v>
      </c>
      <c r="U18" s="24">
        <f>IF(U23="Kansas City Chiefs",1,0)</f>
        <v>0</v>
      </c>
      <c r="V18" s="24">
        <f>IF(V23="Baltimore Ravens",1,0)</f>
        <v>0</v>
      </c>
      <c r="W18" s="24">
        <f>IF(W23="LAR",1,0)</f>
        <v>0</v>
      </c>
      <c r="X18" s="24">
        <f>IF(X23="Philadelphia Eagles",1,0)</f>
        <v>0</v>
      </c>
      <c r="Y18" s="25">
        <f>IF(Y23="DAL",1,0)</f>
        <v>0</v>
      </c>
      <c r="Z18" s="72"/>
      <c r="AA18" s="73"/>
    </row>
    <row r="19" spans="1:51" x14ac:dyDescent="0.25">
      <c r="A19" s="68" t="s">
        <v>42</v>
      </c>
      <c r="B19" s="20" t="s">
        <v>10</v>
      </c>
      <c r="C19" s="21" t="s">
        <v>11</v>
      </c>
      <c r="D19" s="21" t="s">
        <v>12</v>
      </c>
      <c r="E19" s="21" t="s">
        <v>13</v>
      </c>
      <c r="F19" s="21" t="s">
        <v>24</v>
      </c>
      <c r="G19" s="21" t="s">
        <v>15</v>
      </c>
      <c r="H19" s="21" t="s">
        <v>38</v>
      </c>
      <c r="I19" s="21" t="s">
        <v>17</v>
      </c>
      <c r="J19" s="21" t="s">
        <v>26</v>
      </c>
      <c r="K19" s="21" t="s">
        <v>19</v>
      </c>
      <c r="L19" s="21" t="s">
        <v>20</v>
      </c>
      <c r="M19" s="21" t="s">
        <v>43</v>
      </c>
      <c r="N19" s="21" t="s">
        <v>30</v>
      </c>
      <c r="O19" s="21" t="s">
        <v>31</v>
      </c>
      <c r="P19" s="21" t="s">
        <v>24</v>
      </c>
      <c r="Q19" s="21" t="s">
        <v>11</v>
      </c>
      <c r="R19" s="21" t="s">
        <v>14</v>
      </c>
      <c r="S19" s="21" t="s">
        <v>44</v>
      </c>
      <c r="T19" s="22" t="s">
        <v>13</v>
      </c>
      <c r="U19" s="21" t="s">
        <v>45</v>
      </c>
      <c r="V19" s="21" t="s">
        <v>25</v>
      </c>
      <c r="W19" s="21" t="s">
        <v>15</v>
      </c>
      <c r="X19" s="21" t="s">
        <v>23</v>
      </c>
      <c r="Y19" s="21" t="s">
        <v>34</v>
      </c>
      <c r="Z19" s="70">
        <f>SUM(B20:Y20)</f>
        <v>1</v>
      </c>
      <c r="AA19" s="71"/>
    </row>
    <row r="20" spans="1:51" ht="15.75" thickBot="1" x14ac:dyDescent="0.3">
      <c r="A20" s="69"/>
      <c r="B20" s="23">
        <f>IF(B23="Philadelphia Eagles",1,0)</f>
        <v>1</v>
      </c>
      <c r="C20" s="24">
        <f>IF(C23="Kansas City Chiefs",1,0)</f>
        <v>0</v>
      </c>
      <c r="D20" s="24">
        <f>IF(D23="Minnesota Vikings",1,0)</f>
        <v>0</v>
      </c>
      <c r="E20" s="24">
        <f>IF(E23="Los Angeles Rams",1,0)</f>
        <v>0</v>
      </c>
      <c r="F20" s="24">
        <f>IF(F37="Baltimore Ravens",1,0)</f>
        <v>0</v>
      </c>
      <c r="G20" s="24">
        <f>IF(G23="New York Jets",1,0)</f>
        <v>0</v>
      </c>
      <c r="H20" s="24">
        <f>IF(H23="Buffalo Bills",1,0)</f>
        <v>0</v>
      </c>
      <c r="I20" s="24">
        <f>IF(I23="CIN",1,0)</f>
        <v>0</v>
      </c>
      <c r="J20" s="24">
        <f>IF(J23="Dallas Cowboys",1,0)</f>
        <v>0</v>
      </c>
      <c r="K20" s="24">
        <f>IF(K23="MIA",1,0)</f>
        <v>0</v>
      </c>
      <c r="L20" s="24">
        <f>IF(L23="Atlanta Falcons",1,0)</f>
        <v>0</v>
      </c>
      <c r="M20" s="24">
        <f>IF(M23="Kansas City Chiefs",1,0)</f>
        <v>0</v>
      </c>
      <c r="N20" s="24">
        <f>IF(N23="San Francisco 49ers",1,0)</f>
        <v>0</v>
      </c>
      <c r="O20" s="24">
        <f>IF(O23="NYJ",1,0)</f>
        <v>0</v>
      </c>
      <c r="P20" s="24">
        <f>IF(P23="NO",1,0)</f>
        <v>0</v>
      </c>
      <c r="Q20" s="24">
        <f>IF(Q23="LAC",1,0)</f>
        <v>0</v>
      </c>
      <c r="R20" s="24">
        <f>IF(R23="Los Angeles Rams",1,0)</f>
        <v>0</v>
      </c>
      <c r="S20" s="24">
        <f>IF(S23="Pittsburgh Steelers",1,0)</f>
        <v>0</v>
      </c>
      <c r="T20" s="24">
        <f>IF(T23="New York Jets",1,0)</f>
        <v>0</v>
      </c>
      <c r="U20" s="24">
        <f>IF(U23="Kansas City Chiefs",1,0)</f>
        <v>0</v>
      </c>
      <c r="V20" s="24">
        <f>IF(V23="Baltimore Ravens",1,0)</f>
        <v>0</v>
      </c>
      <c r="W20" s="24">
        <f>IF(W23="LAR",1,0)</f>
        <v>0</v>
      </c>
      <c r="X20" s="24">
        <f>IF(X23="Philadelphia Eagles",1,0)</f>
        <v>0</v>
      </c>
      <c r="Y20" s="25">
        <f>IF(Y23="Houston Texans",1,0)</f>
        <v>0</v>
      </c>
      <c r="Z20" s="72"/>
      <c r="AA20" s="73"/>
    </row>
    <row r="21" spans="1:51" x14ac:dyDescent="0.25">
      <c r="A21" s="68" t="s">
        <v>46</v>
      </c>
      <c r="B21" s="20" t="s">
        <v>10</v>
      </c>
      <c r="C21" s="21" t="s">
        <v>11</v>
      </c>
      <c r="D21" s="21" t="s">
        <v>12</v>
      </c>
      <c r="E21" s="21" t="s">
        <v>33</v>
      </c>
      <c r="F21" s="21" t="s">
        <v>14</v>
      </c>
      <c r="G21" s="21" t="s">
        <v>15</v>
      </c>
      <c r="H21" s="21" t="s">
        <v>38</v>
      </c>
      <c r="I21" s="21" t="s">
        <v>17</v>
      </c>
      <c r="J21" s="21" t="s">
        <v>26</v>
      </c>
      <c r="K21" s="21" t="s">
        <v>19</v>
      </c>
      <c r="L21" s="21" t="s">
        <v>20</v>
      </c>
      <c r="M21" s="21" t="s">
        <v>21</v>
      </c>
      <c r="N21" s="21" t="s">
        <v>22</v>
      </c>
      <c r="O21" s="21" t="s">
        <v>23</v>
      </c>
      <c r="P21" s="21" t="s">
        <v>24</v>
      </c>
      <c r="Q21" s="21" t="s">
        <v>11</v>
      </c>
      <c r="R21" s="21" t="s">
        <v>14</v>
      </c>
      <c r="S21" s="21" t="s">
        <v>19</v>
      </c>
      <c r="T21" s="22" t="s">
        <v>13</v>
      </c>
      <c r="U21" s="21" t="s">
        <v>19</v>
      </c>
      <c r="V21" s="21" t="s">
        <v>32</v>
      </c>
      <c r="W21" s="21" t="s">
        <v>28</v>
      </c>
      <c r="X21" s="21" t="s">
        <v>23</v>
      </c>
      <c r="Y21" s="21" t="s">
        <v>26</v>
      </c>
      <c r="Z21" s="70">
        <f>SUM(B22:Y22)</f>
        <v>1</v>
      </c>
      <c r="AA21" s="71"/>
    </row>
    <row r="22" spans="1:51" ht="15.75" thickBot="1" x14ac:dyDescent="0.3">
      <c r="A22" s="69"/>
      <c r="B22" s="23">
        <f>IF(B23="Philadelphia Eagles",1,0)</f>
        <v>1</v>
      </c>
      <c r="C22" s="24">
        <f>IF(C23="Kansas City Chiefs",1,0)</f>
        <v>0</v>
      </c>
      <c r="D22" s="24">
        <f>IF(D23="Minnesota Vikings",1,0)</f>
        <v>0</v>
      </c>
      <c r="E22" s="24">
        <f>IF(E23="Los Angeles Rams",1,0)</f>
        <v>0</v>
      </c>
      <c r="F22" s="24">
        <f>IF(F39="Baltimore Ravens",1,0)</f>
        <v>0</v>
      </c>
      <c r="G22" s="24">
        <f>IF(G23="New York Jets",1,0)</f>
        <v>0</v>
      </c>
      <c r="H22" s="24">
        <f>IF(H23="Buffalo Bills",1,0)</f>
        <v>0</v>
      </c>
      <c r="I22" s="24">
        <f>IF(I23="CIN",1,0)</f>
        <v>0</v>
      </c>
      <c r="J22" s="24">
        <f>IF(J23="Dallas Cowboys",1,0)</f>
        <v>0</v>
      </c>
      <c r="K22" s="24">
        <f>IF(K23="MIA",1,0)</f>
        <v>0</v>
      </c>
      <c r="L22" s="24">
        <f>IF(L23="Atlanta Falcons",1,0)</f>
        <v>0</v>
      </c>
      <c r="M22" s="24">
        <f>IF(M23="Kansas City Chiefs",1,0)</f>
        <v>0</v>
      </c>
      <c r="N22" s="24">
        <f>IF(N23="San Francisco 49ers",1,0)</f>
        <v>0</v>
      </c>
      <c r="O22" s="24">
        <f>IF(O23="NYJ",1,0)</f>
        <v>0</v>
      </c>
      <c r="P22" s="24">
        <f>IF(P23="NO",1,0)</f>
        <v>0</v>
      </c>
      <c r="Q22" s="24">
        <f>IF(Q23="LAC",1,0)</f>
        <v>0</v>
      </c>
      <c r="R22" s="24">
        <f>IF(R23="Los Angeles Rams",1,0)</f>
        <v>0</v>
      </c>
      <c r="S22" s="24">
        <f>IF(S23="Pittsburgh Steelers",1,0)</f>
        <v>0</v>
      </c>
      <c r="T22" s="24">
        <f>IF(T23="New York Jets",1,0)</f>
        <v>0</v>
      </c>
      <c r="U22" s="24">
        <f>IF(U23="Kansas City Chiefs",1,0)</f>
        <v>0</v>
      </c>
      <c r="V22" s="24">
        <f>IF(V23="CIN",1,0)</f>
        <v>0</v>
      </c>
      <c r="W22" s="24">
        <f>IF(W23="LAR",1,0)</f>
        <v>0</v>
      </c>
      <c r="X22" s="24">
        <f>IF(X23="Philadelphia Eagles",1,0)</f>
        <v>0</v>
      </c>
      <c r="Y22" s="25">
        <f>IF(Y23="Houston Texans",1,0)</f>
        <v>0</v>
      </c>
      <c r="Z22" s="72"/>
      <c r="AA22" s="73"/>
    </row>
    <row r="23" spans="1:51" ht="15.75" thickBot="1" x14ac:dyDescent="0.3">
      <c r="A23" s="27" t="s">
        <v>47</v>
      </c>
      <c r="B23" s="28" t="s">
        <v>48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28"/>
      <c r="S23" s="29"/>
      <c r="T23" s="28"/>
      <c r="U23" s="29"/>
      <c r="V23" s="28"/>
      <c r="W23" s="29"/>
      <c r="X23" s="28"/>
      <c r="Y23" s="29"/>
      <c r="Z23" s="30"/>
      <c r="AA23" s="31"/>
    </row>
    <row r="24" spans="1:51" ht="15.75" thickBot="1" x14ac:dyDescent="0.3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</row>
    <row r="25" spans="1:51" ht="15.75" customHeight="1" thickTop="1" thickBot="1" x14ac:dyDescent="0.3">
      <c r="A25" s="86" t="s">
        <v>49</v>
      </c>
      <c r="B25" s="89" t="s">
        <v>50</v>
      </c>
      <c r="C25" s="90"/>
      <c r="D25" s="90"/>
      <c r="E25" s="90"/>
      <c r="F25" s="90"/>
      <c r="G25" s="90"/>
      <c r="H25" s="90"/>
      <c r="I25" s="90"/>
      <c r="J25" s="91"/>
      <c r="K25" s="34"/>
      <c r="L25" s="89" t="s">
        <v>51</v>
      </c>
      <c r="M25" s="90"/>
      <c r="N25" s="90"/>
      <c r="O25" s="90"/>
      <c r="P25" s="90"/>
      <c r="Q25" s="90"/>
      <c r="R25" s="91"/>
      <c r="S25" s="35"/>
      <c r="T25" s="36" t="s">
        <v>52</v>
      </c>
      <c r="U25" s="37"/>
      <c r="V25" s="37"/>
      <c r="W25" s="38"/>
      <c r="X25" s="92" t="s">
        <v>53</v>
      </c>
      <c r="Y25" s="93"/>
      <c r="Z25" s="94"/>
      <c r="AA25" s="35"/>
      <c r="AB25" s="35"/>
      <c r="AC25" s="92" t="s">
        <v>54</v>
      </c>
      <c r="AD25" s="94"/>
      <c r="AE25" s="92" t="s">
        <v>55</v>
      </c>
      <c r="AF25" s="122"/>
      <c r="AG25" s="125" t="s">
        <v>56</v>
      </c>
      <c r="AH25" s="126"/>
      <c r="AI25" s="127"/>
      <c r="AJ25" s="134" t="s">
        <v>57</v>
      </c>
      <c r="AK25" s="105"/>
      <c r="AL25" s="105"/>
      <c r="AM25" s="105"/>
      <c r="AN25" s="105"/>
      <c r="AO25" s="105"/>
    </row>
    <row r="26" spans="1:51" ht="15" customHeight="1" x14ac:dyDescent="0.25">
      <c r="A26" s="87"/>
      <c r="B26" s="135" t="s">
        <v>58</v>
      </c>
      <c r="C26" s="136"/>
      <c r="D26" s="136"/>
      <c r="E26" s="136"/>
      <c r="F26" s="39"/>
      <c r="G26" s="137" t="s">
        <v>59</v>
      </c>
      <c r="H26" s="136"/>
      <c r="I26" s="136"/>
      <c r="J26" s="138"/>
      <c r="K26" s="40"/>
      <c r="L26" s="139" t="s">
        <v>58</v>
      </c>
      <c r="M26" s="140"/>
      <c r="N26" s="140"/>
      <c r="O26" s="39"/>
      <c r="P26" s="143" t="s">
        <v>59</v>
      </c>
      <c r="Q26" s="140"/>
      <c r="R26" s="144"/>
      <c r="S26" s="34"/>
      <c r="T26" s="139" t="s">
        <v>58</v>
      </c>
      <c r="U26" s="147"/>
      <c r="V26" s="143" t="s">
        <v>59</v>
      </c>
      <c r="W26" s="144"/>
      <c r="X26" s="95"/>
      <c r="Y26" s="96"/>
      <c r="Z26" s="97"/>
      <c r="AA26" s="35"/>
      <c r="AB26" s="35"/>
      <c r="AC26" s="95"/>
      <c r="AD26" s="97"/>
      <c r="AE26" s="95"/>
      <c r="AF26" s="123"/>
      <c r="AG26" s="128"/>
      <c r="AH26" s="129"/>
      <c r="AI26" s="130"/>
      <c r="AJ26" s="134"/>
      <c r="AK26" s="105"/>
      <c r="AL26" s="105"/>
      <c r="AM26" s="105"/>
      <c r="AN26" s="105"/>
      <c r="AO26" s="105"/>
      <c r="AP26" s="107" t="s">
        <v>60</v>
      </c>
      <c r="AQ26" s="107"/>
      <c r="AR26" s="107"/>
      <c r="AS26" s="107"/>
      <c r="AT26" s="107"/>
      <c r="AU26" s="107"/>
      <c r="AV26" s="107"/>
      <c r="AW26" s="107"/>
      <c r="AX26" s="107"/>
    </row>
    <row r="27" spans="1:51" ht="15.75" customHeight="1" thickBot="1" x14ac:dyDescent="0.3">
      <c r="A27" s="88"/>
      <c r="B27" s="42" t="s">
        <v>61</v>
      </c>
      <c r="C27" s="43" t="s">
        <v>62</v>
      </c>
      <c r="D27" s="44" t="s">
        <v>63</v>
      </c>
      <c r="E27" s="44" t="s">
        <v>64</v>
      </c>
      <c r="F27" s="45"/>
      <c r="G27" s="44" t="s">
        <v>61</v>
      </c>
      <c r="H27" s="44" t="s">
        <v>62</v>
      </c>
      <c r="I27" s="44" t="s">
        <v>63</v>
      </c>
      <c r="J27" s="44" t="s">
        <v>64</v>
      </c>
      <c r="K27" s="40"/>
      <c r="L27" s="141"/>
      <c r="M27" s="142"/>
      <c r="N27" s="142"/>
      <c r="O27" s="46"/>
      <c r="P27" s="145"/>
      <c r="Q27" s="142"/>
      <c r="R27" s="146"/>
      <c r="S27" s="40"/>
      <c r="T27" s="141"/>
      <c r="U27" s="148"/>
      <c r="V27" s="145"/>
      <c r="W27" s="146"/>
      <c r="X27" s="98"/>
      <c r="Y27" s="99"/>
      <c r="Z27" s="100"/>
      <c r="AA27" s="47"/>
      <c r="AB27" s="48" t="s">
        <v>65</v>
      </c>
      <c r="AC27" s="98"/>
      <c r="AD27" s="100"/>
      <c r="AE27" s="98"/>
      <c r="AF27" s="124"/>
      <c r="AG27" s="131"/>
      <c r="AH27" s="132"/>
      <c r="AI27" s="133"/>
      <c r="AJ27" s="134"/>
      <c r="AK27" s="105"/>
      <c r="AL27" s="105"/>
      <c r="AM27" s="105"/>
      <c r="AN27" s="105"/>
      <c r="AO27" s="105"/>
    </row>
    <row r="28" spans="1:51" x14ac:dyDescent="0.25">
      <c r="A28" s="108" t="s">
        <v>9</v>
      </c>
      <c r="B28" s="49" t="s">
        <v>21</v>
      </c>
      <c r="C28" s="50" t="s">
        <v>17</v>
      </c>
      <c r="D28" s="50" t="s">
        <v>16</v>
      </c>
      <c r="E28" s="50" t="s">
        <v>11</v>
      </c>
      <c r="F28" s="51"/>
      <c r="G28" s="50" t="s">
        <v>10</v>
      </c>
      <c r="H28" s="50" t="s">
        <v>12</v>
      </c>
      <c r="I28" s="50" t="s">
        <v>19</v>
      </c>
      <c r="J28" s="52" t="s">
        <v>13</v>
      </c>
      <c r="K28" s="53"/>
      <c r="L28" s="49" t="s">
        <v>43</v>
      </c>
      <c r="M28" s="50" t="s">
        <v>18</v>
      </c>
      <c r="N28" s="50" t="s">
        <v>15</v>
      </c>
      <c r="O28" s="51"/>
      <c r="P28" s="50" t="s">
        <v>24</v>
      </c>
      <c r="Q28" s="50" t="s">
        <v>44</v>
      </c>
      <c r="R28" s="52" t="s">
        <v>26</v>
      </c>
      <c r="S28" s="40"/>
      <c r="T28" s="109" t="s">
        <v>21</v>
      </c>
      <c r="U28" s="110"/>
      <c r="V28" s="111" t="s">
        <v>10</v>
      </c>
      <c r="W28" s="112"/>
      <c r="X28" s="109" t="s">
        <v>21</v>
      </c>
      <c r="Y28" s="113"/>
      <c r="Z28" s="112"/>
      <c r="AA28" s="54"/>
      <c r="AB28" s="55"/>
      <c r="AC28" s="114">
        <f>SUM(B29:Z29)</f>
        <v>0</v>
      </c>
      <c r="AD28" s="115"/>
      <c r="AE28" s="114">
        <f>Z5</f>
        <v>1</v>
      </c>
      <c r="AF28" s="71"/>
      <c r="AG28" s="118">
        <f>SUM(AC28,AE28)</f>
        <v>1</v>
      </c>
      <c r="AH28" s="119"/>
      <c r="AI28" s="120"/>
      <c r="AK28" s="119">
        <f>SUM(AB29,AG28)</f>
        <v>1</v>
      </c>
      <c r="AL28" s="119"/>
      <c r="AM28" s="119"/>
      <c r="AN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</row>
    <row r="29" spans="1:51" ht="15.75" thickBot="1" x14ac:dyDescent="0.3">
      <c r="A29" s="102"/>
      <c r="B29" s="57"/>
      <c r="C29" s="58"/>
      <c r="D29" s="58"/>
      <c r="E29" s="58"/>
      <c r="F29" s="51"/>
      <c r="G29" s="58"/>
      <c r="H29" s="58"/>
      <c r="I29" s="58"/>
      <c r="J29" s="59"/>
      <c r="K29" s="53"/>
      <c r="L29" s="57"/>
      <c r="M29" s="58"/>
      <c r="N29" s="58"/>
      <c r="O29" s="51"/>
      <c r="P29" s="58"/>
      <c r="Q29" s="58"/>
      <c r="R29" s="59"/>
      <c r="S29" s="53"/>
      <c r="T29" s="150"/>
      <c r="U29" s="151"/>
      <c r="V29" s="156"/>
      <c r="W29" s="155"/>
      <c r="X29" s="150"/>
      <c r="Y29" s="154"/>
      <c r="Z29" s="155"/>
      <c r="AA29" s="54"/>
      <c r="AB29" s="60">
        <f>SUM(B29,X29)</f>
        <v>0</v>
      </c>
      <c r="AC29" s="116"/>
      <c r="AD29" s="117"/>
      <c r="AE29" s="116"/>
      <c r="AF29" s="73"/>
      <c r="AG29" s="72"/>
      <c r="AH29" s="121"/>
      <c r="AI29" s="73"/>
      <c r="AK29" s="119"/>
      <c r="AL29" s="119"/>
      <c r="AM29" s="119"/>
      <c r="AN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</row>
    <row r="30" spans="1:51" x14ac:dyDescent="0.25">
      <c r="A30" s="101" t="s">
        <v>27</v>
      </c>
      <c r="B30" s="57" t="s">
        <v>21</v>
      </c>
      <c r="C30" s="58" t="s">
        <v>17</v>
      </c>
      <c r="D30" s="58" t="s">
        <v>18</v>
      </c>
      <c r="E30" s="58" t="s">
        <v>11</v>
      </c>
      <c r="F30" s="51"/>
      <c r="G30" s="58" t="s">
        <v>10</v>
      </c>
      <c r="H30" s="58" t="s">
        <v>29</v>
      </c>
      <c r="I30" s="58" t="s">
        <v>19</v>
      </c>
      <c r="J30" s="59" t="s">
        <v>13</v>
      </c>
      <c r="K30" s="53"/>
      <c r="L30" s="57" t="s">
        <v>30</v>
      </c>
      <c r="M30" s="58" t="s">
        <v>33</v>
      </c>
      <c r="N30" s="58" t="s">
        <v>15</v>
      </c>
      <c r="O30" s="51"/>
      <c r="P30" s="58" t="s">
        <v>20</v>
      </c>
      <c r="Q30" s="58" t="s">
        <v>12</v>
      </c>
      <c r="R30" s="59" t="s">
        <v>31</v>
      </c>
      <c r="S30" s="53"/>
      <c r="T30" s="103" t="s">
        <v>33</v>
      </c>
      <c r="U30" s="104"/>
      <c r="V30" s="105" t="s">
        <v>29</v>
      </c>
      <c r="W30" s="105"/>
      <c r="X30" s="103" t="s">
        <v>33</v>
      </c>
      <c r="Y30" s="105"/>
      <c r="Z30" s="106"/>
      <c r="AA30" s="61"/>
      <c r="AB30" s="60"/>
      <c r="AC30" s="114">
        <f t="shared" ref="AC30" si="0">SUM(B31:Z31)</f>
        <v>0</v>
      </c>
      <c r="AD30" s="115"/>
      <c r="AE30" s="114">
        <f>Z7</f>
        <v>1</v>
      </c>
      <c r="AF30" s="71"/>
      <c r="AG30" s="118">
        <f t="shared" ref="AG30" si="1">SUM(AC30,AE30)</f>
        <v>1</v>
      </c>
      <c r="AH30" s="119"/>
      <c r="AI30" s="120"/>
      <c r="AK30" s="119">
        <f t="shared" ref="AK30" si="2">SUM(AB31,AG30)</f>
        <v>1</v>
      </c>
      <c r="AL30" s="119"/>
      <c r="AM30" s="119"/>
      <c r="AN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</row>
    <row r="31" spans="1:51" ht="15.75" thickBot="1" x14ac:dyDescent="0.3">
      <c r="A31" s="102"/>
      <c r="B31" s="57"/>
      <c r="C31" s="58"/>
      <c r="D31" s="58"/>
      <c r="E31" s="58"/>
      <c r="F31" s="51"/>
      <c r="G31" s="58"/>
      <c r="H31" s="58"/>
      <c r="I31" s="58"/>
      <c r="J31" s="59"/>
      <c r="K31" s="53"/>
      <c r="L31" s="57"/>
      <c r="M31" s="58"/>
      <c r="N31" s="58"/>
      <c r="O31" s="51"/>
      <c r="P31" s="58"/>
      <c r="Q31" s="58"/>
      <c r="R31" s="59"/>
      <c r="S31" s="53"/>
      <c r="T31" s="150"/>
      <c r="U31" s="151"/>
      <c r="V31" s="152"/>
      <c r="W31" s="153"/>
      <c r="X31" s="150"/>
      <c r="Y31" s="154"/>
      <c r="Z31" s="155"/>
      <c r="AA31" s="61"/>
      <c r="AB31" s="60">
        <v>0</v>
      </c>
      <c r="AC31" s="116"/>
      <c r="AD31" s="117"/>
      <c r="AE31" s="149"/>
      <c r="AF31" s="120"/>
      <c r="AG31" s="72"/>
      <c r="AH31" s="121"/>
      <c r="AI31" s="73"/>
      <c r="AK31" s="119"/>
      <c r="AL31" s="119"/>
      <c r="AM31" s="119"/>
      <c r="AN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</row>
    <row r="32" spans="1:51" x14ac:dyDescent="0.25">
      <c r="A32" s="87" t="s">
        <v>35</v>
      </c>
      <c r="B32" s="57" t="s">
        <v>21</v>
      </c>
      <c r="C32" s="58" t="s">
        <v>14</v>
      </c>
      <c r="D32" s="58" t="s">
        <v>33</v>
      </c>
      <c r="E32" s="58" t="s">
        <v>11</v>
      </c>
      <c r="F32" s="51"/>
      <c r="G32" s="58" t="s">
        <v>20</v>
      </c>
      <c r="H32" s="58" t="s">
        <v>29</v>
      </c>
      <c r="I32" s="58" t="s">
        <v>19</v>
      </c>
      <c r="J32" s="59" t="s">
        <v>31</v>
      </c>
      <c r="K32" s="53"/>
      <c r="L32" s="57" t="s">
        <v>30</v>
      </c>
      <c r="M32" s="58" t="s">
        <v>17</v>
      </c>
      <c r="N32" s="58" t="s">
        <v>15</v>
      </c>
      <c r="O32" s="51"/>
      <c r="P32" s="58" t="s">
        <v>10</v>
      </c>
      <c r="Q32" s="58" t="s">
        <v>12</v>
      </c>
      <c r="R32" s="59" t="s">
        <v>13</v>
      </c>
      <c r="S32" s="53"/>
      <c r="T32" s="103" t="s">
        <v>11</v>
      </c>
      <c r="U32" s="104"/>
      <c r="V32" s="105" t="s">
        <v>13</v>
      </c>
      <c r="W32" s="105"/>
      <c r="X32" s="103" t="s">
        <v>13</v>
      </c>
      <c r="Y32" s="105"/>
      <c r="Z32" s="106"/>
      <c r="AA32" s="61"/>
      <c r="AB32" s="60"/>
      <c r="AC32" s="114">
        <f t="shared" ref="AC32" si="3">SUM(B33:Z33)</f>
        <v>0</v>
      </c>
      <c r="AD32" s="115"/>
      <c r="AE32" s="114">
        <f>Z9</f>
        <v>1</v>
      </c>
      <c r="AF32" s="71"/>
      <c r="AG32" s="157">
        <f t="shared" ref="AG32" si="4">SUM(AC32,AE32)</f>
        <v>1</v>
      </c>
      <c r="AH32" s="158"/>
      <c r="AI32" s="159"/>
      <c r="AK32" s="119">
        <f t="shared" ref="AK32" si="5">SUM(AB33,AG32)</f>
        <v>1</v>
      </c>
      <c r="AL32" s="119"/>
      <c r="AM32" s="119"/>
      <c r="AN32" s="119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</row>
    <row r="33" spans="1:51" ht="15.75" thickBot="1" x14ac:dyDescent="0.3">
      <c r="A33" s="161"/>
      <c r="B33" s="57"/>
      <c r="C33" s="58"/>
      <c r="D33" s="58"/>
      <c r="E33" s="58"/>
      <c r="F33" s="51"/>
      <c r="G33" s="58"/>
      <c r="H33" s="58"/>
      <c r="I33" s="58"/>
      <c r="J33" s="59"/>
      <c r="K33" s="53"/>
      <c r="L33" s="57"/>
      <c r="M33" s="58"/>
      <c r="N33" s="58"/>
      <c r="O33" s="51"/>
      <c r="P33" s="58"/>
      <c r="Q33" s="58"/>
      <c r="R33" s="59"/>
      <c r="S33" s="53"/>
      <c r="T33" s="150"/>
      <c r="U33" s="151"/>
      <c r="V33" s="152"/>
      <c r="W33" s="153"/>
      <c r="X33" s="150"/>
      <c r="Y33" s="154"/>
      <c r="Z33" s="155"/>
      <c r="AA33" s="61"/>
      <c r="AB33" s="60">
        <v>0</v>
      </c>
      <c r="AC33" s="116"/>
      <c r="AD33" s="117"/>
      <c r="AE33" s="162"/>
      <c r="AF33" s="163"/>
      <c r="AG33" s="72"/>
      <c r="AH33" s="121"/>
      <c r="AI33" s="73"/>
      <c r="AK33" s="119"/>
      <c r="AL33" s="119"/>
      <c r="AM33" s="119"/>
      <c r="AN33" s="119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</row>
    <row r="34" spans="1:51" x14ac:dyDescent="0.25">
      <c r="A34" s="101" t="s">
        <v>37</v>
      </c>
      <c r="B34" s="57" t="s">
        <v>21</v>
      </c>
      <c r="C34" s="58" t="s">
        <v>14</v>
      </c>
      <c r="D34" s="58" t="s">
        <v>18</v>
      </c>
      <c r="E34" s="58" t="s">
        <v>15</v>
      </c>
      <c r="F34" s="51"/>
      <c r="G34" s="58" t="s">
        <v>10</v>
      </c>
      <c r="H34" s="58" t="s">
        <v>24</v>
      </c>
      <c r="I34" s="58" t="s">
        <v>19</v>
      </c>
      <c r="J34" s="59" t="s">
        <v>13</v>
      </c>
      <c r="K34" s="53"/>
      <c r="L34" s="57" t="s">
        <v>11</v>
      </c>
      <c r="M34" s="58" t="s">
        <v>66</v>
      </c>
      <c r="N34" s="58" t="s">
        <v>28</v>
      </c>
      <c r="O34" s="51"/>
      <c r="P34" s="58" t="s">
        <v>26</v>
      </c>
      <c r="Q34" s="58" t="s">
        <v>36</v>
      </c>
      <c r="R34" s="59" t="s">
        <v>32</v>
      </c>
      <c r="S34" s="53"/>
      <c r="T34" s="103" t="s">
        <v>14</v>
      </c>
      <c r="U34" s="104"/>
      <c r="V34" s="164" t="s">
        <v>10</v>
      </c>
      <c r="W34" s="165"/>
      <c r="X34" s="105" t="s">
        <v>14</v>
      </c>
      <c r="Y34" s="105"/>
      <c r="Z34" s="105"/>
      <c r="AA34" s="61"/>
      <c r="AB34" s="60"/>
      <c r="AC34" s="114">
        <f t="shared" ref="AC34" si="6">SUM(B35:Z35)</f>
        <v>0</v>
      </c>
      <c r="AD34" s="115"/>
      <c r="AE34" s="114">
        <f>Z11</f>
        <v>1</v>
      </c>
      <c r="AF34" s="71"/>
      <c r="AG34" s="118">
        <f t="shared" ref="AG34" si="7">SUM(AC34,AE34)</f>
        <v>1</v>
      </c>
      <c r="AH34" s="119"/>
      <c r="AI34" s="120"/>
      <c r="AK34" s="119">
        <f t="shared" ref="AK34" si="8">SUM(AB35,AG34)</f>
        <v>1</v>
      </c>
      <c r="AL34" s="119"/>
      <c r="AM34" s="119"/>
      <c r="AN34" s="119"/>
    </row>
    <row r="35" spans="1:51" ht="15.75" thickBot="1" x14ac:dyDescent="0.3">
      <c r="A35" s="102"/>
      <c r="B35" s="57"/>
      <c r="C35" s="58"/>
      <c r="D35" s="58"/>
      <c r="E35" s="58"/>
      <c r="F35" s="51"/>
      <c r="G35" s="58"/>
      <c r="H35" s="58"/>
      <c r="I35" s="58"/>
      <c r="J35" s="59"/>
      <c r="K35" s="53"/>
      <c r="L35" s="57"/>
      <c r="M35" s="58"/>
      <c r="N35" s="58"/>
      <c r="O35" s="51"/>
      <c r="P35" s="58"/>
      <c r="Q35" s="58"/>
      <c r="R35" s="59"/>
      <c r="S35" s="53"/>
      <c r="T35" s="150"/>
      <c r="U35" s="151"/>
      <c r="V35" s="152"/>
      <c r="W35" s="153"/>
      <c r="X35" s="167"/>
      <c r="Y35" s="168"/>
      <c r="Z35" s="153"/>
      <c r="AA35" s="61"/>
      <c r="AB35" s="60">
        <v>0</v>
      </c>
      <c r="AC35" s="116"/>
      <c r="AD35" s="117"/>
      <c r="AE35" s="116"/>
      <c r="AF35" s="73"/>
      <c r="AG35" s="72"/>
      <c r="AH35" s="121"/>
      <c r="AI35" s="73"/>
      <c r="AK35" s="119"/>
      <c r="AL35" s="119"/>
      <c r="AM35" s="119"/>
      <c r="AN35" s="119"/>
    </row>
    <row r="36" spans="1:51" x14ac:dyDescent="0.25">
      <c r="A36" s="101" t="s">
        <v>39</v>
      </c>
      <c r="B36" s="57" t="s">
        <v>21</v>
      </c>
      <c r="C36" s="58" t="s">
        <v>14</v>
      </c>
      <c r="D36" s="58" t="s">
        <v>18</v>
      </c>
      <c r="E36" s="58" t="s">
        <v>11</v>
      </c>
      <c r="F36" s="51"/>
      <c r="G36" s="58" t="s">
        <v>32</v>
      </c>
      <c r="H36" s="58" t="s">
        <v>36</v>
      </c>
      <c r="I36" s="58" t="s">
        <v>19</v>
      </c>
      <c r="J36" s="59" t="s">
        <v>13</v>
      </c>
      <c r="K36" s="53"/>
      <c r="L36" s="57" t="s">
        <v>28</v>
      </c>
      <c r="M36" s="58" t="s">
        <v>15</v>
      </c>
      <c r="N36" s="58" t="s">
        <v>17</v>
      </c>
      <c r="O36" s="51"/>
      <c r="P36" s="58" t="s">
        <v>10</v>
      </c>
      <c r="Q36" s="58" t="s">
        <v>24</v>
      </c>
      <c r="R36" s="59" t="s">
        <v>31</v>
      </c>
      <c r="S36" s="53"/>
      <c r="T36" s="103" t="s">
        <v>28</v>
      </c>
      <c r="U36" s="104"/>
      <c r="V36" s="105" t="s">
        <v>36</v>
      </c>
      <c r="W36" s="105"/>
      <c r="X36" s="103" t="s">
        <v>28</v>
      </c>
      <c r="Y36" s="105"/>
      <c r="Z36" s="106"/>
      <c r="AA36" s="61"/>
      <c r="AB36" s="60"/>
      <c r="AC36" s="114">
        <f t="shared" ref="AC36" si="9">SUM(B37:Z37)</f>
        <v>0</v>
      </c>
      <c r="AD36" s="115"/>
      <c r="AE36" s="114">
        <f>Z13</f>
        <v>1</v>
      </c>
      <c r="AF36" s="71"/>
      <c r="AG36" s="118">
        <f t="shared" ref="AG36" si="10">SUM(AC36,AE36)</f>
        <v>1</v>
      </c>
      <c r="AH36" s="119"/>
      <c r="AI36" s="120"/>
      <c r="AK36" s="119">
        <f t="shared" ref="AK36" si="11">SUM(AB37,AG36)</f>
        <v>1</v>
      </c>
      <c r="AL36" s="119"/>
      <c r="AM36" s="119"/>
      <c r="AN36" s="119"/>
      <c r="AP36" s="166"/>
      <c r="AQ36" s="166"/>
      <c r="AR36" s="166"/>
      <c r="AS36" s="166"/>
      <c r="AT36" s="166"/>
      <c r="AU36" s="166"/>
      <c r="AV36" s="166"/>
      <c r="AW36" s="166"/>
      <c r="AX36" s="166"/>
    </row>
    <row r="37" spans="1:51" ht="15.75" thickBot="1" x14ac:dyDescent="0.3">
      <c r="A37" s="102"/>
      <c r="B37" s="57"/>
      <c r="C37" s="58"/>
      <c r="D37" s="58"/>
      <c r="E37" s="58"/>
      <c r="F37" s="51"/>
      <c r="G37" s="58"/>
      <c r="H37" s="58"/>
      <c r="I37" s="58"/>
      <c r="J37" s="59"/>
      <c r="K37" s="53"/>
      <c r="L37" s="57"/>
      <c r="M37" s="58"/>
      <c r="N37" s="58"/>
      <c r="O37" s="51"/>
      <c r="P37" s="58"/>
      <c r="Q37" s="58"/>
      <c r="R37" s="59"/>
      <c r="S37" s="53"/>
      <c r="T37" s="150"/>
      <c r="U37" s="151"/>
      <c r="V37" s="152"/>
      <c r="W37" s="153"/>
      <c r="X37" s="150"/>
      <c r="Y37" s="154"/>
      <c r="Z37" s="155"/>
      <c r="AA37" s="61"/>
      <c r="AB37" s="60">
        <v>0</v>
      </c>
      <c r="AC37" s="116"/>
      <c r="AD37" s="117"/>
      <c r="AE37" s="116"/>
      <c r="AF37" s="73"/>
      <c r="AG37" s="72"/>
      <c r="AH37" s="121"/>
      <c r="AI37" s="73"/>
      <c r="AK37" s="119"/>
      <c r="AL37" s="119"/>
      <c r="AM37" s="119"/>
      <c r="AN37" s="119"/>
      <c r="AP37" s="166"/>
      <c r="AQ37" s="166"/>
      <c r="AR37" s="166"/>
      <c r="AS37" s="166"/>
      <c r="AT37" s="166"/>
      <c r="AU37" s="166"/>
      <c r="AV37" s="166"/>
      <c r="AW37" s="166"/>
      <c r="AX37" s="166"/>
    </row>
    <row r="38" spans="1:51" x14ac:dyDescent="0.25">
      <c r="A38" s="87"/>
      <c r="B38" s="57"/>
      <c r="C38" s="58"/>
      <c r="D38" s="58"/>
      <c r="E38" s="58"/>
      <c r="F38" s="51"/>
      <c r="G38" s="58"/>
      <c r="H38" s="58"/>
      <c r="I38" s="58"/>
      <c r="J38" s="59"/>
      <c r="K38" s="53"/>
      <c r="L38" s="57"/>
      <c r="M38" s="58"/>
      <c r="N38" s="58"/>
      <c r="O38" s="51"/>
      <c r="P38" s="58"/>
      <c r="Q38" s="58"/>
      <c r="R38" s="59"/>
      <c r="S38" s="53"/>
      <c r="T38" s="103"/>
      <c r="U38" s="104"/>
      <c r="V38" s="105"/>
      <c r="W38" s="105"/>
      <c r="X38" s="103"/>
      <c r="Y38" s="105"/>
      <c r="Z38" s="106"/>
      <c r="AA38" s="61"/>
      <c r="AB38" s="60"/>
      <c r="AC38" s="114">
        <f t="shared" ref="AC38" si="12">SUM(B39:Z39)</f>
        <v>0</v>
      </c>
      <c r="AD38" s="115"/>
      <c r="AE38" s="114">
        <f>Z15</f>
        <v>0</v>
      </c>
      <c r="AF38" s="71"/>
      <c r="AG38" s="118">
        <f t="shared" ref="AG38" si="13">SUM(AC38,AE38)</f>
        <v>0</v>
      </c>
      <c r="AH38" s="119"/>
      <c r="AI38" s="120"/>
      <c r="AK38" s="119">
        <f t="shared" ref="AK38" si="14">SUM(AB39,AG38)</f>
        <v>0</v>
      </c>
      <c r="AL38" s="119"/>
      <c r="AM38" s="119"/>
      <c r="AN38" s="119"/>
      <c r="AP38" s="166"/>
      <c r="AQ38" s="166"/>
      <c r="AR38" s="166"/>
      <c r="AS38" s="166"/>
      <c r="AT38" s="166"/>
      <c r="AU38" s="166"/>
      <c r="AV38" s="166"/>
      <c r="AW38" s="166"/>
      <c r="AX38" s="166"/>
    </row>
    <row r="39" spans="1:51" ht="15.75" thickBot="1" x14ac:dyDescent="0.3">
      <c r="A39" s="161"/>
      <c r="B39" s="57"/>
      <c r="C39" s="58"/>
      <c r="D39" s="58"/>
      <c r="E39" s="58"/>
      <c r="F39" s="51"/>
      <c r="G39" s="58"/>
      <c r="H39" s="58"/>
      <c r="I39" s="58"/>
      <c r="J39" s="59"/>
      <c r="K39" s="53"/>
      <c r="L39" s="57"/>
      <c r="M39" s="58"/>
      <c r="N39" s="58"/>
      <c r="O39" s="51"/>
      <c r="P39" s="58"/>
      <c r="Q39" s="58"/>
      <c r="R39" s="59"/>
      <c r="S39" s="53"/>
      <c r="T39" s="150"/>
      <c r="U39" s="151"/>
      <c r="V39" s="152"/>
      <c r="W39" s="153"/>
      <c r="X39" s="150"/>
      <c r="Y39" s="154"/>
      <c r="Z39" s="155"/>
      <c r="AA39" s="61"/>
      <c r="AB39" s="60">
        <v>0</v>
      </c>
      <c r="AC39" s="116"/>
      <c r="AD39" s="117"/>
      <c r="AE39" s="116"/>
      <c r="AF39" s="73"/>
      <c r="AG39" s="72"/>
      <c r="AH39" s="121"/>
      <c r="AI39" s="73"/>
      <c r="AK39" s="119"/>
      <c r="AL39" s="119"/>
      <c r="AM39" s="119"/>
      <c r="AN39" s="119"/>
      <c r="AP39" s="166"/>
      <c r="AQ39" s="166"/>
      <c r="AR39" s="166"/>
      <c r="AS39" s="166"/>
      <c r="AT39" s="166"/>
      <c r="AU39" s="166"/>
      <c r="AV39" s="166"/>
      <c r="AW39" s="166"/>
      <c r="AX39" s="166"/>
    </row>
    <row r="40" spans="1:51" x14ac:dyDescent="0.25">
      <c r="A40" s="101" t="s">
        <v>40</v>
      </c>
      <c r="B40" s="57" t="s">
        <v>21</v>
      </c>
      <c r="C40" s="58" t="s">
        <v>14</v>
      </c>
      <c r="D40" s="58" t="s">
        <v>18</v>
      </c>
      <c r="E40" s="58" t="s">
        <v>28</v>
      </c>
      <c r="F40" s="51"/>
      <c r="G40" s="58" t="s">
        <v>10</v>
      </c>
      <c r="H40" s="58" t="s">
        <v>24</v>
      </c>
      <c r="I40" s="58" t="s">
        <v>44</v>
      </c>
      <c r="J40" s="59" t="s">
        <v>26</v>
      </c>
      <c r="K40" s="53"/>
      <c r="L40" s="57" t="s">
        <v>17</v>
      </c>
      <c r="M40" s="58" t="s">
        <v>11</v>
      </c>
      <c r="N40" s="58" t="s">
        <v>15</v>
      </c>
      <c r="O40" s="51"/>
      <c r="P40" s="58" t="s">
        <v>12</v>
      </c>
      <c r="Q40" s="58" t="s">
        <v>13</v>
      </c>
      <c r="R40" s="59" t="s">
        <v>25</v>
      </c>
      <c r="S40" s="53"/>
      <c r="T40" s="103" t="s">
        <v>21</v>
      </c>
      <c r="U40" s="104"/>
      <c r="V40" s="105" t="s">
        <v>26</v>
      </c>
      <c r="W40" s="105"/>
      <c r="X40" s="103" t="s">
        <v>21</v>
      </c>
      <c r="Y40" s="105"/>
      <c r="Z40" s="106"/>
      <c r="AA40" s="61"/>
      <c r="AB40" s="60"/>
      <c r="AC40" s="114">
        <f t="shared" ref="AC40" si="15">SUM(B41:Z41)</f>
        <v>0</v>
      </c>
      <c r="AD40" s="115"/>
      <c r="AE40" s="114">
        <f>Z17</f>
        <v>1</v>
      </c>
      <c r="AF40" s="71"/>
      <c r="AG40" s="118">
        <f t="shared" ref="AG40" si="16">SUM(AC40,AE40)</f>
        <v>1</v>
      </c>
      <c r="AH40" s="119"/>
      <c r="AI40" s="120"/>
      <c r="AK40" s="119">
        <f t="shared" ref="AK40" si="17">SUM(AB41,AG40)</f>
        <v>1</v>
      </c>
      <c r="AL40" s="119"/>
      <c r="AM40" s="119"/>
      <c r="AN40" s="119"/>
      <c r="AP40" s="166"/>
      <c r="AQ40" s="166"/>
      <c r="AR40" s="166"/>
      <c r="AS40" s="166"/>
      <c r="AT40" s="166"/>
      <c r="AU40" s="166"/>
      <c r="AV40" s="166"/>
      <c r="AW40" s="166"/>
      <c r="AX40" s="166"/>
    </row>
    <row r="41" spans="1:51" ht="15.75" thickBot="1" x14ac:dyDescent="0.3">
      <c r="A41" s="102"/>
      <c r="B41" s="57"/>
      <c r="C41" s="58"/>
      <c r="D41" s="58"/>
      <c r="E41" s="58"/>
      <c r="F41" s="51"/>
      <c r="G41" s="58"/>
      <c r="H41" s="58"/>
      <c r="I41" s="58"/>
      <c r="J41" s="59"/>
      <c r="K41" s="53"/>
      <c r="L41" s="57"/>
      <c r="M41" s="58"/>
      <c r="N41" s="58"/>
      <c r="O41" s="51"/>
      <c r="P41" s="58"/>
      <c r="Q41" s="58"/>
      <c r="R41" s="59"/>
      <c r="S41" s="53"/>
      <c r="T41" s="150"/>
      <c r="U41" s="151"/>
      <c r="V41" s="152"/>
      <c r="W41" s="153"/>
      <c r="X41" s="150"/>
      <c r="Y41" s="154"/>
      <c r="Z41" s="155"/>
      <c r="AA41" s="61"/>
      <c r="AB41" s="60">
        <v>0</v>
      </c>
      <c r="AC41" s="116"/>
      <c r="AD41" s="117"/>
      <c r="AE41" s="116"/>
      <c r="AF41" s="73"/>
      <c r="AG41" s="72"/>
      <c r="AH41" s="121"/>
      <c r="AI41" s="73"/>
      <c r="AK41" s="119"/>
      <c r="AL41" s="119"/>
      <c r="AM41" s="119"/>
      <c r="AN41" s="119"/>
      <c r="AP41" s="166"/>
      <c r="AQ41" s="166"/>
      <c r="AR41" s="166"/>
      <c r="AS41" s="166"/>
      <c r="AT41" s="166"/>
      <c r="AU41" s="166"/>
      <c r="AV41" s="166"/>
      <c r="AW41" s="166"/>
      <c r="AX41" s="166"/>
    </row>
    <row r="42" spans="1:51" x14ac:dyDescent="0.25">
      <c r="A42" s="169" t="s">
        <v>42</v>
      </c>
      <c r="B42" s="57" t="s">
        <v>30</v>
      </c>
      <c r="C42" s="58" t="s">
        <v>17</v>
      </c>
      <c r="D42" s="58" t="s">
        <v>18</v>
      </c>
      <c r="E42" s="58" t="s">
        <v>11</v>
      </c>
      <c r="F42" s="51"/>
      <c r="G42" s="58" t="s">
        <v>25</v>
      </c>
      <c r="H42" s="58" t="s">
        <v>12</v>
      </c>
      <c r="I42" s="58" t="s">
        <v>19</v>
      </c>
      <c r="J42" s="59" t="s">
        <v>13</v>
      </c>
      <c r="K42" s="53"/>
      <c r="L42" s="57" t="s">
        <v>14</v>
      </c>
      <c r="M42" s="58" t="s">
        <v>21</v>
      </c>
      <c r="N42" s="58" t="s">
        <v>28</v>
      </c>
      <c r="O42" s="51"/>
      <c r="P42" s="58" t="s">
        <v>10</v>
      </c>
      <c r="Q42" s="58" t="s">
        <v>24</v>
      </c>
      <c r="R42" s="59" t="s">
        <v>34</v>
      </c>
      <c r="S42" s="53"/>
      <c r="T42" s="170" t="s">
        <v>21</v>
      </c>
      <c r="U42" s="171"/>
      <c r="V42" s="164" t="s">
        <v>10</v>
      </c>
      <c r="W42" s="165"/>
      <c r="X42" s="105" t="s">
        <v>21</v>
      </c>
      <c r="Y42" s="105"/>
      <c r="Z42" s="105"/>
      <c r="AA42" s="61"/>
      <c r="AB42" s="60"/>
      <c r="AC42" s="114">
        <f t="shared" ref="AC42" si="18">SUM(B43:Z43)</f>
        <v>0</v>
      </c>
      <c r="AD42" s="115"/>
      <c r="AE42" s="114">
        <f>Z19</f>
        <v>1</v>
      </c>
      <c r="AF42" s="71"/>
      <c r="AG42" s="118">
        <f t="shared" ref="AG42" si="19">SUM(AC42,AE42)</f>
        <v>1</v>
      </c>
      <c r="AH42" s="119"/>
      <c r="AI42" s="120"/>
      <c r="AK42" s="119">
        <f t="shared" ref="AK42" si="20">SUM(AB43,AG42)</f>
        <v>1</v>
      </c>
      <c r="AL42" s="119"/>
      <c r="AM42" s="119"/>
      <c r="AN42" s="119"/>
    </row>
    <row r="43" spans="1:51" ht="15.75" thickBot="1" x14ac:dyDescent="0.3">
      <c r="A43" s="102"/>
      <c r="B43" s="57"/>
      <c r="C43" s="58"/>
      <c r="D43" s="58"/>
      <c r="E43" s="58"/>
      <c r="F43" s="51"/>
      <c r="G43" s="58"/>
      <c r="H43" s="58"/>
      <c r="I43" s="58"/>
      <c r="J43" s="59"/>
      <c r="K43" s="53"/>
      <c r="L43" s="57"/>
      <c r="M43" s="58"/>
      <c r="N43" s="58"/>
      <c r="O43" s="51"/>
      <c r="P43" s="58"/>
      <c r="Q43" s="58"/>
      <c r="R43" s="59"/>
      <c r="S43" s="53"/>
      <c r="T43" s="150"/>
      <c r="U43" s="151"/>
      <c r="V43" s="152"/>
      <c r="W43" s="153"/>
      <c r="X43" s="167"/>
      <c r="Y43" s="168"/>
      <c r="Z43" s="153"/>
      <c r="AA43" s="61"/>
      <c r="AB43" s="60">
        <v>0</v>
      </c>
      <c r="AC43" s="116"/>
      <c r="AD43" s="117"/>
      <c r="AE43" s="116"/>
      <c r="AF43" s="73"/>
      <c r="AG43" s="72"/>
      <c r="AH43" s="121"/>
      <c r="AI43" s="73"/>
      <c r="AK43" s="119"/>
      <c r="AL43" s="119"/>
      <c r="AM43" s="119"/>
      <c r="AN43" s="119"/>
    </row>
    <row r="44" spans="1:51" x14ac:dyDescent="0.25">
      <c r="A44" s="101" t="s">
        <v>46</v>
      </c>
      <c r="B44" s="57" t="s">
        <v>21</v>
      </c>
      <c r="C44" s="58" t="s">
        <v>14</v>
      </c>
      <c r="D44" s="58" t="s">
        <v>33</v>
      </c>
      <c r="E44" s="58" t="s">
        <v>11</v>
      </c>
      <c r="F44" s="51"/>
      <c r="G44" s="58" t="s">
        <v>10</v>
      </c>
      <c r="H44" s="58" t="s">
        <v>24</v>
      </c>
      <c r="I44" s="58" t="s">
        <v>19</v>
      </c>
      <c r="J44" s="59" t="s">
        <v>13</v>
      </c>
      <c r="K44" s="53"/>
      <c r="L44" s="57" t="s">
        <v>28</v>
      </c>
      <c r="M44" s="58" t="s">
        <v>17</v>
      </c>
      <c r="N44" s="58" t="s">
        <v>66</v>
      </c>
      <c r="O44" s="51"/>
      <c r="P44" s="58" t="s">
        <v>12</v>
      </c>
      <c r="Q44" s="58" t="s">
        <v>36</v>
      </c>
      <c r="R44" s="59" t="s">
        <v>32</v>
      </c>
      <c r="S44" s="62"/>
      <c r="T44" s="103" t="s">
        <v>28</v>
      </c>
      <c r="U44" s="104"/>
      <c r="V44" s="172" t="s">
        <v>10</v>
      </c>
      <c r="W44" s="106"/>
      <c r="X44" s="103" t="s">
        <v>28</v>
      </c>
      <c r="Y44" s="105"/>
      <c r="Z44" s="106"/>
      <c r="AA44" s="61"/>
      <c r="AB44" s="60"/>
      <c r="AC44" s="114">
        <f t="shared" ref="AC44" si="21">SUM(B45:Z45)</f>
        <v>0</v>
      </c>
      <c r="AD44" s="115"/>
      <c r="AE44" s="114">
        <f>Z21</f>
        <v>1</v>
      </c>
      <c r="AF44" s="71"/>
      <c r="AG44" s="118">
        <f t="shared" ref="AG44" si="22">SUM(AC44,AE44)</f>
        <v>1</v>
      </c>
      <c r="AH44" s="119"/>
      <c r="AI44" s="120"/>
      <c r="AK44" s="119">
        <f t="shared" ref="AK44" si="23">SUM(AB45,AG44)</f>
        <v>1</v>
      </c>
      <c r="AL44" s="119"/>
      <c r="AM44" s="119"/>
      <c r="AN44" s="119"/>
      <c r="AP44" s="166"/>
      <c r="AQ44" s="166"/>
      <c r="AR44" s="166"/>
      <c r="AS44" s="166"/>
      <c r="AT44" s="166"/>
      <c r="AU44" s="166"/>
      <c r="AV44" s="166"/>
      <c r="AW44" s="166"/>
      <c r="AX44" s="166"/>
    </row>
    <row r="45" spans="1:51" ht="15.75" thickBot="1" x14ac:dyDescent="0.3">
      <c r="A45" s="102"/>
      <c r="B45" s="57"/>
      <c r="C45" s="58"/>
      <c r="D45" s="58"/>
      <c r="E45" s="58"/>
      <c r="F45" s="51"/>
      <c r="G45" s="58"/>
      <c r="H45" s="58"/>
      <c r="I45" s="58"/>
      <c r="J45" s="59"/>
      <c r="K45" s="53"/>
      <c r="L45" s="57"/>
      <c r="M45" s="58"/>
      <c r="N45" s="58"/>
      <c r="O45" s="51"/>
      <c r="P45" s="58"/>
      <c r="Q45" s="58"/>
      <c r="R45" s="59"/>
      <c r="S45" s="53"/>
      <c r="T45" s="150"/>
      <c r="U45" s="151"/>
      <c r="V45" s="156"/>
      <c r="W45" s="155"/>
      <c r="X45" s="150"/>
      <c r="Y45" s="154"/>
      <c r="Z45" s="155"/>
      <c r="AA45" s="61"/>
      <c r="AB45" s="60">
        <v>0</v>
      </c>
      <c r="AC45" s="116"/>
      <c r="AD45" s="117"/>
      <c r="AE45" s="116"/>
      <c r="AF45" s="73"/>
      <c r="AG45" s="72"/>
      <c r="AH45" s="121"/>
      <c r="AI45" s="73"/>
      <c r="AK45" s="119"/>
      <c r="AL45" s="119"/>
      <c r="AM45" s="119"/>
      <c r="AN45" s="119"/>
      <c r="AP45" s="166"/>
      <c r="AQ45" s="166"/>
      <c r="AR45" s="166"/>
      <c r="AS45" s="166"/>
      <c r="AT45" s="166"/>
      <c r="AU45" s="166"/>
      <c r="AV45" s="166"/>
      <c r="AW45" s="166"/>
      <c r="AX45" s="166"/>
    </row>
    <row r="46" spans="1:51" ht="15.75" thickBot="1" x14ac:dyDescent="0.3">
      <c r="A46" s="41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63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G46" s="56"/>
      <c r="AH46" s="56"/>
      <c r="AI46" s="56"/>
    </row>
    <row r="47" spans="1:51" ht="15" customHeight="1" thickTop="1" x14ac:dyDescent="0.25">
      <c r="A47" s="76" t="s">
        <v>0</v>
      </c>
      <c r="B47" s="1"/>
      <c r="C47" s="1"/>
      <c r="D47" s="78" t="s">
        <v>1</v>
      </c>
      <c r="E47" s="78"/>
      <c r="F47" s="3"/>
      <c r="G47" s="4"/>
      <c r="H47" s="2"/>
      <c r="I47" s="78" t="s">
        <v>2</v>
      </c>
      <c r="J47" s="78"/>
      <c r="K47" s="4"/>
      <c r="L47" s="5"/>
      <c r="M47" s="2"/>
      <c r="N47" s="78" t="s">
        <v>3</v>
      </c>
      <c r="O47" s="78"/>
      <c r="P47" s="3"/>
      <c r="Q47" s="6"/>
      <c r="R47" s="2"/>
      <c r="S47" s="2"/>
      <c r="T47" s="3" t="s">
        <v>4</v>
      </c>
      <c r="U47" s="5"/>
      <c r="V47" s="7"/>
      <c r="W47" s="3"/>
      <c r="X47" s="3" t="s">
        <v>5</v>
      </c>
      <c r="Y47" s="3"/>
      <c r="Z47" s="79" t="s">
        <v>6</v>
      </c>
      <c r="AA47" s="80"/>
    </row>
    <row r="48" spans="1:51" ht="15" customHeight="1" x14ac:dyDescent="0.25">
      <c r="A48" s="77"/>
      <c r="B48" s="8">
        <v>4</v>
      </c>
      <c r="C48" s="9">
        <v>5</v>
      </c>
      <c r="D48" s="9">
        <v>8</v>
      </c>
      <c r="E48" s="9">
        <v>14</v>
      </c>
      <c r="F48" s="9">
        <v>22</v>
      </c>
      <c r="G48" s="10">
        <v>29</v>
      </c>
      <c r="H48" s="8">
        <v>5</v>
      </c>
      <c r="I48" s="11">
        <v>12</v>
      </c>
      <c r="J48" s="9">
        <v>20</v>
      </c>
      <c r="K48" s="10">
        <v>26</v>
      </c>
      <c r="L48" s="11">
        <v>2</v>
      </c>
      <c r="M48" s="9">
        <v>9</v>
      </c>
      <c r="N48" s="9">
        <v>13</v>
      </c>
      <c r="O48" s="9">
        <v>23</v>
      </c>
      <c r="P48" s="9">
        <v>27</v>
      </c>
      <c r="Q48" s="12">
        <v>27</v>
      </c>
      <c r="R48" s="11">
        <v>7</v>
      </c>
      <c r="S48" s="13">
        <v>11</v>
      </c>
      <c r="T48" s="13">
        <v>18</v>
      </c>
      <c r="U48" s="13">
        <v>21</v>
      </c>
      <c r="V48" s="14">
        <v>25</v>
      </c>
      <c r="W48" s="11" t="s">
        <v>7</v>
      </c>
      <c r="X48" s="9" t="s">
        <v>7</v>
      </c>
      <c r="Y48" s="13" t="s">
        <v>7</v>
      </c>
      <c r="Z48" s="81"/>
      <c r="AA48" s="82"/>
    </row>
    <row r="49" spans="1:27" ht="15.75" customHeight="1" thickBot="1" x14ac:dyDescent="0.3">
      <c r="A49" s="15" t="s">
        <v>8</v>
      </c>
      <c r="B49" s="16">
        <v>1</v>
      </c>
      <c r="C49" s="17">
        <v>2</v>
      </c>
      <c r="D49" s="17">
        <v>3</v>
      </c>
      <c r="E49" s="17">
        <v>4</v>
      </c>
      <c r="F49" s="17">
        <v>5</v>
      </c>
      <c r="G49" s="18">
        <v>6</v>
      </c>
      <c r="H49" s="19">
        <v>7</v>
      </c>
      <c r="I49" s="19">
        <v>8</v>
      </c>
      <c r="J49" s="17">
        <v>9</v>
      </c>
      <c r="K49" s="18">
        <v>10</v>
      </c>
      <c r="L49" s="19">
        <v>11</v>
      </c>
      <c r="M49" s="17">
        <v>12</v>
      </c>
      <c r="N49" s="17">
        <v>13</v>
      </c>
      <c r="O49" s="17">
        <v>14</v>
      </c>
      <c r="P49" s="17">
        <v>15</v>
      </c>
      <c r="Q49" s="18">
        <v>16</v>
      </c>
      <c r="R49" s="19">
        <v>17</v>
      </c>
      <c r="S49" s="17">
        <v>18</v>
      </c>
      <c r="T49" s="17">
        <v>19</v>
      </c>
      <c r="U49" s="19">
        <v>20</v>
      </c>
      <c r="V49" s="18">
        <v>21</v>
      </c>
      <c r="W49" s="19">
        <v>22</v>
      </c>
      <c r="X49" s="17">
        <v>23</v>
      </c>
      <c r="Y49" s="17">
        <v>24</v>
      </c>
      <c r="Z49" s="83"/>
      <c r="AA49" s="84"/>
    </row>
    <row r="50" spans="1:27" x14ac:dyDescent="0.25">
      <c r="A50" s="85" t="s">
        <v>67</v>
      </c>
      <c r="B50" s="20" t="s">
        <v>10</v>
      </c>
      <c r="C50" s="21" t="s">
        <v>11</v>
      </c>
      <c r="D50" s="21" t="s">
        <v>29</v>
      </c>
      <c r="E50" s="21" t="s">
        <v>13</v>
      </c>
      <c r="F50" s="21" t="s">
        <v>14</v>
      </c>
      <c r="G50" s="21" t="s">
        <v>15</v>
      </c>
      <c r="H50" s="21" t="s">
        <v>16</v>
      </c>
      <c r="I50" s="21" t="s">
        <v>17</v>
      </c>
      <c r="J50" s="21" t="s">
        <v>18</v>
      </c>
      <c r="K50" s="21" t="s">
        <v>19</v>
      </c>
      <c r="L50" s="21" t="s">
        <v>34</v>
      </c>
      <c r="M50" s="21" t="s">
        <v>21</v>
      </c>
      <c r="N50" s="21" t="s">
        <v>30</v>
      </c>
      <c r="O50" s="21" t="s">
        <v>31</v>
      </c>
      <c r="P50" s="21" t="s">
        <v>24</v>
      </c>
      <c r="Q50" s="21" t="s">
        <v>11</v>
      </c>
      <c r="R50" s="21" t="s">
        <v>14</v>
      </c>
      <c r="S50" s="21" t="s">
        <v>19</v>
      </c>
      <c r="T50" s="22" t="s">
        <v>13</v>
      </c>
      <c r="U50" s="21" t="s">
        <v>19</v>
      </c>
      <c r="V50" s="21" t="s">
        <v>32</v>
      </c>
      <c r="W50" s="21" t="s">
        <v>15</v>
      </c>
      <c r="X50" s="21" t="s">
        <v>23</v>
      </c>
      <c r="Y50" s="21" t="s">
        <v>34</v>
      </c>
      <c r="Z50" s="70">
        <f>SUM(B51:Y51)</f>
        <v>1</v>
      </c>
      <c r="AA50" s="71"/>
    </row>
    <row r="51" spans="1:27" ht="15.75" thickBot="1" x14ac:dyDescent="0.3">
      <c r="A51" s="69"/>
      <c r="B51" s="23">
        <f>IF(B70="Philadelphia Eagles",1,0)</f>
        <v>1</v>
      </c>
      <c r="C51" s="24">
        <f>IF(C70="Kansas City Chiefs",1,0)</f>
        <v>0</v>
      </c>
      <c r="D51" s="24">
        <f>IF(D70="Minnesota Vikings",1,0)</f>
        <v>0</v>
      </c>
      <c r="E51" s="24">
        <f>IF(E70="Los Angeles Rams",1,0)</f>
        <v>0</v>
      </c>
      <c r="F51" s="24">
        <f>IF(F70="Philadelphia Eagles",1,0)</f>
        <v>0</v>
      </c>
      <c r="G51" s="24">
        <f>IF(G70="New York Jets",1,0)</f>
        <v>0</v>
      </c>
      <c r="H51" s="24">
        <f>IF(H70="Buffalo Bills",1,0)</f>
        <v>0</v>
      </c>
      <c r="I51" s="24">
        <f>IF(I70="CIN",1,0)</f>
        <v>0</v>
      </c>
      <c r="J51" s="24">
        <f>IF(J70="Dallas Cowboys",1,0)</f>
        <v>0</v>
      </c>
      <c r="K51" s="24">
        <f>IF(K70="Tennessee Titans",1,0)</f>
        <v>0</v>
      </c>
      <c r="L51" s="24">
        <f>IF(L70="TB",1,0)</f>
        <v>0</v>
      </c>
      <c r="M51" s="24">
        <f>IF(M70="Kansas City Chiefs",1,0)</f>
        <v>0</v>
      </c>
      <c r="N51" s="24">
        <f>IF(N70="San Francisco 49ers",1,0)</f>
        <v>0</v>
      </c>
      <c r="O51" s="24">
        <f>IF(O70="Buffalo Bills",1,0)</f>
        <v>0</v>
      </c>
      <c r="P51" s="24">
        <f>IF(P70="Denver Broncos",1,0)</f>
        <v>0</v>
      </c>
      <c r="Q51" s="24">
        <f>IF(Q70="LAC",1,0)</f>
        <v>0</v>
      </c>
      <c r="R51" s="24">
        <f>IF(R70="Los Angeles Rams",1,0)</f>
        <v>0</v>
      </c>
      <c r="S51" s="24">
        <f>IF(S70="Pittsburgh Steelers",1,0)</f>
        <v>0</v>
      </c>
      <c r="T51" s="24">
        <f>IF(T70="HOU",1,0)</f>
        <v>0</v>
      </c>
      <c r="U51" s="24">
        <f>IF(U70="Kansas City Chiefs",1,0)</f>
        <v>0</v>
      </c>
      <c r="V51" s="24">
        <f>IF(V70="Baltimore Ravens",1,0)</f>
        <v>0</v>
      </c>
      <c r="W51" s="24">
        <f>IF(W70="LAR",1,0)</f>
        <v>0</v>
      </c>
      <c r="X51" s="24">
        <f>IF(X70="Philadelphia Eagles",1,0)</f>
        <v>0</v>
      </c>
      <c r="Y51" s="24">
        <f>IF(Y70="Houston Texans",1,0)</f>
        <v>0</v>
      </c>
      <c r="Z51" s="72"/>
      <c r="AA51" s="73"/>
    </row>
    <row r="52" spans="1:27" x14ac:dyDescent="0.25">
      <c r="A52" s="74" t="s">
        <v>68</v>
      </c>
      <c r="B52" s="20" t="s">
        <v>10</v>
      </c>
      <c r="C52" s="21" t="s">
        <v>11</v>
      </c>
      <c r="D52" s="21" t="s">
        <v>12</v>
      </c>
      <c r="E52" s="21" t="s">
        <v>33</v>
      </c>
      <c r="F52" s="21" t="s">
        <v>14</v>
      </c>
      <c r="G52" s="21" t="s">
        <v>66</v>
      </c>
      <c r="H52" s="21" t="s">
        <v>38</v>
      </c>
      <c r="I52" s="21" t="s">
        <v>17</v>
      </c>
      <c r="J52" s="21" t="s">
        <v>26</v>
      </c>
      <c r="K52" s="21" t="s">
        <v>41</v>
      </c>
      <c r="L52" s="21" t="s">
        <v>34</v>
      </c>
      <c r="M52" s="21" t="s">
        <v>21</v>
      </c>
      <c r="N52" s="21" t="s">
        <v>30</v>
      </c>
      <c r="O52" s="21" t="s">
        <v>23</v>
      </c>
      <c r="P52" s="21" t="s">
        <v>36</v>
      </c>
      <c r="Q52" s="21" t="s">
        <v>11</v>
      </c>
      <c r="R52" s="21" t="s">
        <v>14</v>
      </c>
      <c r="S52" s="21" t="s">
        <v>19</v>
      </c>
      <c r="T52" s="22" t="s">
        <v>26</v>
      </c>
      <c r="U52" s="21" t="s">
        <v>45</v>
      </c>
      <c r="V52" s="21" t="s">
        <v>32</v>
      </c>
      <c r="W52" s="21" t="s">
        <v>28</v>
      </c>
      <c r="X52" s="21" t="s">
        <v>33</v>
      </c>
      <c r="Y52" s="21" t="s">
        <v>34</v>
      </c>
      <c r="Z52" s="70">
        <f>SUM(B53:Y53)</f>
        <v>1</v>
      </c>
      <c r="AA52" s="71"/>
    </row>
    <row r="53" spans="1:27" ht="15.75" thickBot="1" x14ac:dyDescent="0.3">
      <c r="A53" s="75"/>
      <c r="B53" s="23">
        <f>IF(B70="Philadelphia Eagles",1,0)</f>
        <v>1</v>
      </c>
      <c r="C53" s="24">
        <f>IF(C70="Kansas City Chiefs",1,0)</f>
        <v>0</v>
      </c>
      <c r="D53" s="24">
        <f>IF(D70="Minnesota Vikings",1,0)</f>
        <v>0</v>
      </c>
      <c r="E53" s="24">
        <f>IF(E70="Los Angeles Rams",1,0)</f>
        <v>0</v>
      </c>
      <c r="F53" s="24">
        <f>IF(F70="Philadelphia Eagles",1,0)</f>
        <v>0</v>
      </c>
      <c r="G53" s="24">
        <f>IF(G70="New York Jets",1,0)</f>
        <v>0</v>
      </c>
      <c r="H53" s="24">
        <f>IF(H70="Buffalo Bills",1,0)</f>
        <v>0</v>
      </c>
      <c r="I53" s="24">
        <f>IF(I70="CIN",1,0)</f>
        <v>0</v>
      </c>
      <c r="J53" s="24">
        <f>IF(J70="Dallas Cowboys",1,0)</f>
        <v>0</v>
      </c>
      <c r="K53" s="24">
        <f>IF(K70="MIA",1,0)</f>
        <v>0</v>
      </c>
      <c r="L53" s="24">
        <f>IF(L70="TB",1,0)</f>
        <v>0</v>
      </c>
      <c r="M53" s="24">
        <f>IF(M70="Kansas City Chiefs",1,0)</f>
        <v>0</v>
      </c>
      <c r="N53" s="24">
        <f>IF(N70="San Francisco 49ers",1,0)</f>
        <v>0</v>
      </c>
      <c r="O53" s="24">
        <f>IF(O70="Buffalo Bills",1,0)</f>
        <v>0</v>
      </c>
      <c r="P53" s="24">
        <f>IF(P70="Denver Broncos",1,0)</f>
        <v>0</v>
      </c>
      <c r="Q53" s="24">
        <f>IF(Q70="LAC",1,0)</f>
        <v>0</v>
      </c>
      <c r="R53" s="24">
        <f>IF(R70="Los Angeles Rams",1,0)</f>
        <v>0</v>
      </c>
      <c r="S53" s="24">
        <f>IF(S70="Pittsburgh Steelers",1,0)</f>
        <v>0</v>
      </c>
      <c r="T53" s="24">
        <f>IF(T70="HOU",1,0)</f>
        <v>0</v>
      </c>
      <c r="U53" s="24">
        <f>IF(U70="Kansas City Chiefs",1,0)</f>
        <v>0</v>
      </c>
      <c r="V53" s="24">
        <f>IF(V70="Baltimore Ravens",1,0)</f>
        <v>0</v>
      </c>
      <c r="W53" s="24">
        <f>IF(W70="LAR",1,0)</f>
        <v>0</v>
      </c>
      <c r="X53" s="24">
        <f>IF(X70="Philadelphia Eagles",1,0)</f>
        <v>0</v>
      </c>
      <c r="Y53" s="25">
        <f>IF(Y70="DAL",1,0)</f>
        <v>0</v>
      </c>
      <c r="Z53" s="72"/>
      <c r="AA53" s="73"/>
    </row>
    <row r="54" spans="1:27" x14ac:dyDescent="0.25">
      <c r="A54" s="68" t="s">
        <v>69</v>
      </c>
      <c r="B54" s="26" t="s">
        <v>25</v>
      </c>
      <c r="C54" s="21" t="s">
        <v>11</v>
      </c>
      <c r="D54" s="21" t="s">
        <v>12</v>
      </c>
      <c r="E54" s="21" t="s">
        <v>33</v>
      </c>
      <c r="F54" s="21" t="s">
        <v>14</v>
      </c>
      <c r="G54" s="21" t="s">
        <v>66</v>
      </c>
      <c r="H54" s="21" t="s">
        <v>38</v>
      </c>
      <c r="I54" s="21" t="s">
        <v>70</v>
      </c>
      <c r="J54" s="21" t="s">
        <v>26</v>
      </c>
      <c r="K54" s="21" t="s">
        <v>41</v>
      </c>
      <c r="L54" s="21" t="s">
        <v>34</v>
      </c>
      <c r="M54" s="21" t="s">
        <v>21</v>
      </c>
      <c r="N54" s="21" t="s">
        <v>30</v>
      </c>
      <c r="O54" s="21" t="s">
        <v>31</v>
      </c>
      <c r="P54" s="21" t="s">
        <v>36</v>
      </c>
      <c r="Q54" s="21" t="s">
        <v>11</v>
      </c>
      <c r="R54" s="21" t="s">
        <v>14</v>
      </c>
      <c r="S54" s="21" t="s">
        <v>44</v>
      </c>
      <c r="T54" s="22" t="s">
        <v>13</v>
      </c>
      <c r="U54" s="21" t="s">
        <v>45</v>
      </c>
      <c r="V54" s="21" t="s">
        <v>32</v>
      </c>
      <c r="W54" s="21" t="s">
        <v>28</v>
      </c>
      <c r="X54" s="21" t="s">
        <v>23</v>
      </c>
      <c r="Y54" s="21" t="s">
        <v>34</v>
      </c>
      <c r="Z54" s="70">
        <f>SUM(B55:Y55)</f>
        <v>0</v>
      </c>
      <c r="AA54" s="71"/>
    </row>
    <row r="55" spans="1:27" ht="15.75" thickBot="1" x14ac:dyDescent="0.3">
      <c r="A55" s="69"/>
      <c r="B55" s="23">
        <f>IF(B70="Dallas Cowboys",1,0)</f>
        <v>0</v>
      </c>
      <c r="C55" s="24">
        <f>IF(C70="Kansas City Chiefs",1,0)</f>
        <v>0</v>
      </c>
      <c r="D55" s="24">
        <f>IF(D70="Minnesota Vikings",1,0)</f>
        <v>0</v>
      </c>
      <c r="E55" s="24">
        <f>IF(E70="Los Angeles Rams",1,0)</f>
        <v>0</v>
      </c>
      <c r="F55" s="24">
        <f>IF(F70="Atlanta Falcons",1,0)</f>
        <v>0</v>
      </c>
      <c r="G55" s="24">
        <f>IF(G70="New York Jets",1,0)</f>
        <v>0</v>
      </c>
      <c r="H55" s="24">
        <f>IF(H70="Buffalo Bills",1,0)</f>
        <v>0</v>
      </c>
      <c r="I55" s="24">
        <f>IF(I70="CIN",1,0)</f>
        <v>0</v>
      </c>
      <c r="J55" s="24">
        <f>IF(J70="Dallas Cowboys",1,0)</f>
        <v>0</v>
      </c>
      <c r="K55" s="24">
        <f>IF(K70="MIA",1,0)</f>
        <v>0</v>
      </c>
      <c r="L55" s="24">
        <f>IF(L70="Atlanta Falcons",1,0)</f>
        <v>0</v>
      </c>
      <c r="M55" s="24">
        <f>IF(M70="Kansas City Chiefs",1,0)</f>
        <v>0</v>
      </c>
      <c r="N55" s="24">
        <f>IF(N70="San Francisco 49ers",1,0)</f>
        <v>0</v>
      </c>
      <c r="O55" s="24">
        <f>IF(O70="Buffalo Bills",1,0)</f>
        <v>0</v>
      </c>
      <c r="P55" s="24">
        <f>IF(P70="NO",1,0)</f>
        <v>0</v>
      </c>
      <c r="Q55" s="24">
        <f>IF(Q70="LAC",1,0)</f>
        <v>0</v>
      </c>
      <c r="R55" s="24">
        <f>IF(R70="Los Angeles Rams",1,0)</f>
        <v>0</v>
      </c>
      <c r="S55" s="24">
        <f>IF(S70="Pittsburgh Steelers",1,0)</f>
        <v>0</v>
      </c>
      <c r="T55" s="24">
        <f>IF(T70="HOU",1,0)</f>
        <v>0</v>
      </c>
      <c r="U55" s="24">
        <f>IF(U70="Kansas City Chiefs",1,0)</f>
        <v>0</v>
      </c>
      <c r="V55" s="24">
        <f>IF(V70="CIN",1,0)</f>
        <v>0</v>
      </c>
      <c r="W55" s="24">
        <f>IF(W70="Miami Dolphins",1,0)</f>
        <v>0</v>
      </c>
      <c r="X55" s="24">
        <f>IF(X70="Philadelphia Eagles",1,0)</f>
        <v>0</v>
      </c>
      <c r="Y55" s="25">
        <f>IF(Y70="DAL",1,0)</f>
        <v>0</v>
      </c>
      <c r="Z55" s="72"/>
      <c r="AA55" s="73"/>
    </row>
    <row r="56" spans="1:27" x14ac:dyDescent="0.25">
      <c r="A56" s="68" t="s">
        <v>71</v>
      </c>
      <c r="B56" s="20" t="s">
        <v>10</v>
      </c>
      <c r="C56" s="21" t="s">
        <v>11</v>
      </c>
      <c r="D56" s="21" t="s">
        <v>12</v>
      </c>
      <c r="E56" s="21" t="s">
        <v>13</v>
      </c>
      <c r="F56" s="21" t="s">
        <v>14</v>
      </c>
      <c r="G56" s="21" t="s">
        <v>15</v>
      </c>
      <c r="H56" s="21" t="s">
        <v>38</v>
      </c>
      <c r="I56" s="21" t="s">
        <v>70</v>
      </c>
      <c r="J56" s="21" t="s">
        <v>26</v>
      </c>
      <c r="K56" s="21" t="s">
        <v>19</v>
      </c>
      <c r="L56" s="21" t="s">
        <v>34</v>
      </c>
      <c r="M56" s="21" t="s">
        <v>43</v>
      </c>
      <c r="N56" s="21" t="s">
        <v>22</v>
      </c>
      <c r="O56" s="21" t="s">
        <v>31</v>
      </c>
      <c r="P56" s="21" t="s">
        <v>24</v>
      </c>
      <c r="Q56" s="21" t="s">
        <v>11</v>
      </c>
      <c r="R56" s="21" t="s">
        <v>14</v>
      </c>
      <c r="S56" s="21" t="s">
        <v>19</v>
      </c>
      <c r="T56" s="22" t="s">
        <v>26</v>
      </c>
      <c r="U56" s="21" t="s">
        <v>19</v>
      </c>
      <c r="V56" s="21" t="s">
        <v>25</v>
      </c>
      <c r="W56" s="21" t="s">
        <v>28</v>
      </c>
      <c r="X56" s="21" t="s">
        <v>33</v>
      </c>
      <c r="Y56" s="21" t="s">
        <v>34</v>
      </c>
      <c r="Z56" s="70">
        <f>SUM(B57:Y57)</f>
        <v>1</v>
      </c>
      <c r="AA56" s="71"/>
    </row>
    <row r="57" spans="1:27" ht="15.75" thickBot="1" x14ac:dyDescent="0.3">
      <c r="A57" s="69"/>
      <c r="B57" s="23">
        <f>IF(B70="Philadelphia Eagles",1,0)</f>
        <v>1</v>
      </c>
      <c r="C57" s="24">
        <f>IF(C70="Kansas City Chiefs",1,0)</f>
        <v>0</v>
      </c>
      <c r="D57" s="24">
        <f>IF(D70="Minnesota Vikings",1,0)</f>
        <v>0</v>
      </c>
      <c r="E57" s="24">
        <f>IF(E70="Los Angeles Rams",1,0)</f>
        <v>0</v>
      </c>
      <c r="F57" s="24">
        <f>IF(F70="Atlanta Falcons",1,0)</f>
        <v>0</v>
      </c>
      <c r="G57" s="24">
        <f>IF(G70="New York Jets",1,0)</f>
        <v>0</v>
      </c>
      <c r="H57" s="24">
        <f>IF(H70="Buffalo Bills",1,0)</f>
        <v>0</v>
      </c>
      <c r="I57" s="24">
        <f>IF(I70="CIN",1,0)</f>
        <v>0</v>
      </c>
      <c r="J57" s="24">
        <f>IF(J70="Dallas Cowboys",1,0)</f>
        <v>0</v>
      </c>
      <c r="K57" s="24">
        <f>IF(K70="MIA",1,0)</f>
        <v>0</v>
      </c>
      <c r="L57" s="24">
        <f>IF(L70="Atlanta Falcons",1,0)</f>
        <v>0</v>
      </c>
      <c r="M57" s="24">
        <f>IF(M70="Kansas City Chiefs",1,0)</f>
        <v>0</v>
      </c>
      <c r="N57" s="24">
        <f>IF(N70="San Francisco 49ers",1,0)</f>
        <v>0</v>
      </c>
      <c r="O57" s="24">
        <f>IF(O70="Buffalo Bills",1,0)</f>
        <v>0</v>
      </c>
      <c r="P57" s="24">
        <f>IF(P70="Denver Broncos",1,0)</f>
        <v>0</v>
      </c>
      <c r="Q57" s="24">
        <f>IF(Q70="LAC",1,0)</f>
        <v>0</v>
      </c>
      <c r="R57" s="24">
        <f>IF(R70="Los Angeles Rams",1,0)</f>
        <v>0</v>
      </c>
      <c r="S57" s="24">
        <f>IF(S70="Pittsburgh Steelers",1,0)</f>
        <v>0</v>
      </c>
      <c r="T57" s="24">
        <f>IF(T70="New York Jets",1,0)</f>
        <v>0</v>
      </c>
      <c r="U57" s="24">
        <f>IF(U70="Kansas City Chiefs",1,0)</f>
        <v>0</v>
      </c>
      <c r="V57" s="24">
        <f>IF(V70="CIN",1,0)</f>
        <v>0</v>
      </c>
      <c r="W57" s="24">
        <f>IF(W70="Miami Dolphins",1,0)</f>
        <v>0</v>
      </c>
      <c r="X57" s="24">
        <f>IF(X70="Philadelphia Eagles",1,0)</f>
        <v>0</v>
      </c>
      <c r="Y57" s="25">
        <f>IF(Y70="DAL",1,0)</f>
        <v>0</v>
      </c>
      <c r="Z57" s="72"/>
      <c r="AA57" s="73"/>
    </row>
    <row r="58" spans="1:27" x14ac:dyDescent="0.25">
      <c r="A58" s="68" t="s">
        <v>72</v>
      </c>
      <c r="B58" s="20" t="s">
        <v>10</v>
      </c>
      <c r="C58" s="21" t="s">
        <v>28</v>
      </c>
      <c r="D58" s="21" t="s">
        <v>12</v>
      </c>
      <c r="E58" s="21" t="s">
        <v>33</v>
      </c>
      <c r="F58" s="21" t="s">
        <v>14</v>
      </c>
      <c r="G58" s="21" t="s">
        <v>66</v>
      </c>
      <c r="H58" s="21" t="s">
        <v>38</v>
      </c>
      <c r="I58" s="21" t="s">
        <v>17</v>
      </c>
      <c r="J58" s="21" t="s">
        <v>18</v>
      </c>
      <c r="K58" s="21" t="s">
        <v>19</v>
      </c>
      <c r="L58" s="21" t="s">
        <v>34</v>
      </c>
      <c r="M58" s="21" t="s">
        <v>21</v>
      </c>
      <c r="N58" s="21" t="s">
        <v>30</v>
      </c>
      <c r="O58" s="21" t="s">
        <v>31</v>
      </c>
      <c r="P58" s="21" t="s">
        <v>24</v>
      </c>
      <c r="Q58" s="21" t="s">
        <v>11</v>
      </c>
      <c r="R58" s="21" t="s">
        <v>14</v>
      </c>
      <c r="S58" s="21" t="s">
        <v>19</v>
      </c>
      <c r="T58" s="22" t="s">
        <v>13</v>
      </c>
      <c r="U58" s="21" t="s">
        <v>19</v>
      </c>
      <c r="V58" s="21" t="s">
        <v>32</v>
      </c>
      <c r="W58" s="21" t="s">
        <v>28</v>
      </c>
      <c r="X58" s="21" t="s">
        <v>33</v>
      </c>
      <c r="Y58" s="21" t="s">
        <v>34</v>
      </c>
      <c r="Z58" s="70">
        <f>SUM(B59:Y59)</f>
        <v>1</v>
      </c>
      <c r="AA58" s="71"/>
    </row>
    <row r="59" spans="1:27" ht="15.75" thickBot="1" x14ac:dyDescent="0.3">
      <c r="A59" s="69"/>
      <c r="B59" s="23">
        <f>IF(B70="Philadelphia Eagles",1,0)</f>
        <v>1</v>
      </c>
      <c r="C59" s="24">
        <f>IF(C70="Kansas City Chiefs",1,0)</f>
        <v>0</v>
      </c>
      <c r="D59" s="24">
        <f>IF(D70="Minnesota Vikings",1,0)</f>
        <v>0</v>
      </c>
      <c r="E59" s="24">
        <f>IF(E70="Los Angeles Rams",1,0)</f>
        <v>0</v>
      </c>
      <c r="F59" s="24">
        <f>IF(F70="Philadelphia Eagles",1,0)</f>
        <v>0</v>
      </c>
      <c r="G59" s="24">
        <f>IF(G70="New York Jets",1,0)</f>
        <v>0</v>
      </c>
      <c r="H59" s="24">
        <f>IF(H70="Buffalo Bills",1,0)</f>
        <v>0</v>
      </c>
      <c r="I59" s="24">
        <f>IF(I70="CIN",1,0)</f>
        <v>0</v>
      </c>
      <c r="J59" s="24">
        <f>IF(J70="Dallas Cowboys",1,0)</f>
        <v>0</v>
      </c>
      <c r="K59" s="24">
        <f>IF(K70="MIA",1,0)</f>
        <v>0</v>
      </c>
      <c r="L59" s="24">
        <f>IF(L70="TB",1,0)</f>
        <v>0</v>
      </c>
      <c r="M59" s="24">
        <f>IF(M70="Kansas City Chiefs",1,0)</f>
        <v>0</v>
      </c>
      <c r="N59" s="24">
        <f>IF(N70="San Francisco 49ers",1,0)</f>
        <v>0</v>
      </c>
      <c r="O59" s="24">
        <f>IF(O70="Buffalo Bills",1,0)</f>
        <v>0</v>
      </c>
      <c r="P59" s="24">
        <f>IF(P70="Denver Broncos",1,0)</f>
        <v>0</v>
      </c>
      <c r="Q59" s="24">
        <f>IF(Q70="LAC",1,0)</f>
        <v>0</v>
      </c>
      <c r="R59" s="24">
        <f>IF(R70="Los Angeles Rams",1,0)</f>
        <v>0</v>
      </c>
      <c r="S59" s="24">
        <f>IF(S70="Pittsburgh Steelers",1,0)</f>
        <v>0</v>
      </c>
      <c r="T59" s="24">
        <f>IF(T70="New York Jets",1,0)</f>
        <v>0</v>
      </c>
      <c r="U59" s="24">
        <f>IF(U70="Kansas City Chiefs",1,0)</f>
        <v>0</v>
      </c>
      <c r="V59" s="24">
        <f>IF(V70="Baltimore Ravens",1,0)</f>
        <v>0</v>
      </c>
      <c r="W59" s="24">
        <f>IF(W70="LAR",1,0)</f>
        <v>0</v>
      </c>
      <c r="X59" s="24">
        <f>IF(X70="Philadelphia Eagles",1,0)</f>
        <v>0</v>
      </c>
      <c r="Y59" s="25">
        <f>IF(Y70="DAL",1,0)</f>
        <v>0</v>
      </c>
      <c r="Z59" s="72"/>
      <c r="AA59" s="73"/>
    </row>
    <row r="60" spans="1:27" x14ac:dyDescent="0.25">
      <c r="A60" s="68" t="s">
        <v>73</v>
      </c>
      <c r="B60" s="20" t="s">
        <v>10</v>
      </c>
      <c r="C60" s="21" t="s">
        <v>28</v>
      </c>
      <c r="D60" s="21" t="s">
        <v>12</v>
      </c>
      <c r="E60" s="21" t="s">
        <v>13</v>
      </c>
      <c r="F60" s="21" t="s">
        <v>24</v>
      </c>
      <c r="G60" s="21" t="s">
        <v>15</v>
      </c>
      <c r="H60" s="21" t="s">
        <v>38</v>
      </c>
      <c r="I60" s="21" t="s">
        <v>17</v>
      </c>
      <c r="J60" s="21" t="s">
        <v>26</v>
      </c>
      <c r="K60" s="21" t="s">
        <v>19</v>
      </c>
      <c r="L60" s="21" t="s">
        <v>34</v>
      </c>
      <c r="M60" s="21" t="s">
        <v>21</v>
      </c>
      <c r="N60" s="21" t="s">
        <v>30</v>
      </c>
      <c r="O60" s="21" t="s">
        <v>23</v>
      </c>
      <c r="P60" s="21" t="s">
        <v>24</v>
      </c>
      <c r="Q60" s="21" t="s">
        <v>25</v>
      </c>
      <c r="R60" s="21" t="s">
        <v>14</v>
      </c>
      <c r="S60" s="21" t="s">
        <v>19</v>
      </c>
      <c r="T60" s="22" t="s">
        <v>26</v>
      </c>
      <c r="U60" s="21" t="s">
        <v>19</v>
      </c>
      <c r="V60" s="21" t="s">
        <v>32</v>
      </c>
      <c r="W60" s="21" t="s">
        <v>28</v>
      </c>
      <c r="X60" s="21" t="s">
        <v>23</v>
      </c>
      <c r="Y60" s="21" t="s">
        <v>34</v>
      </c>
      <c r="Z60" s="70">
        <f>SUM(B61:Y61)</f>
        <v>1</v>
      </c>
      <c r="AA60" s="71"/>
    </row>
    <row r="61" spans="1:27" ht="15.75" thickBot="1" x14ac:dyDescent="0.3">
      <c r="A61" s="69"/>
      <c r="B61" s="23">
        <f>IF(B70="Philadelphia Eagles",1,0)</f>
        <v>1</v>
      </c>
      <c r="C61" s="24">
        <f>IF(C70="Kansas City Chiefs",1,0)</f>
        <v>0</v>
      </c>
      <c r="D61" s="24">
        <f>IF(D70="Minnesota Vikings",1,0)</f>
        <v>0</v>
      </c>
      <c r="E61" s="24">
        <f>IF(E70="Los Angeles Rams",1,0)</f>
        <v>0</v>
      </c>
      <c r="F61" s="24">
        <f>IF(F70="Philadelphia Eagles",1,0)</f>
        <v>0</v>
      </c>
      <c r="G61" s="24">
        <f>IF(G70="New York Jets",1,0)</f>
        <v>0</v>
      </c>
      <c r="H61" s="24">
        <f>IF(H70="Buffalo Bills",1,0)</f>
        <v>0</v>
      </c>
      <c r="I61" s="24">
        <f>IF(I70="CIN",1,0)</f>
        <v>0</v>
      </c>
      <c r="J61" s="24">
        <f>IF(J70="NYG",1,0)</f>
        <v>0</v>
      </c>
      <c r="K61" s="24">
        <f>IF(K70="MIA",1,0)</f>
        <v>0</v>
      </c>
      <c r="L61" s="24">
        <f>IF(L70="TB",1,0)</f>
        <v>0</v>
      </c>
      <c r="M61" s="24">
        <f>IF(M70="Kansas City Chiefs",1,0)</f>
        <v>0</v>
      </c>
      <c r="N61" s="24">
        <f>IF(N70="San Francisco 49ers",1,0)</f>
        <v>0</v>
      </c>
      <c r="O61" s="24">
        <f>IF(O70="NYJ",1,0)</f>
        <v>0</v>
      </c>
      <c r="P61" s="24">
        <f>IF(P70="Denver Broncos",1,0)</f>
        <v>0</v>
      </c>
      <c r="Q61" s="24">
        <f>IF(Q70="LAC",1,0)</f>
        <v>0</v>
      </c>
      <c r="R61" s="24">
        <f>IF(R70="Los Angeles Rams",1,0)</f>
        <v>0</v>
      </c>
      <c r="S61" s="24">
        <f>IF(S70="Pittsburgh Steelers",1,0)</f>
        <v>0</v>
      </c>
      <c r="T61" s="24">
        <f>IF(T70="HOU",1,0)</f>
        <v>0</v>
      </c>
      <c r="U61" s="24">
        <f>IF(U70="Kansas City Chiefs",1,0)</f>
        <v>0</v>
      </c>
      <c r="V61" s="24">
        <f>IF(V70="Baltimore Ravens",1,0)</f>
        <v>0</v>
      </c>
      <c r="W61" s="24">
        <f>IF(W70="Miami Dolphins",1,0)</f>
        <v>0</v>
      </c>
      <c r="X61" s="24">
        <f>IF(X70="Philadelphia Eagles",1,0)</f>
        <v>0</v>
      </c>
      <c r="Y61" s="25">
        <f>IF(Y70="DAL",1,0)</f>
        <v>0</v>
      </c>
      <c r="Z61" s="72"/>
      <c r="AA61" s="73"/>
    </row>
    <row r="62" spans="1:27" x14ac:dyDescent="0.25">
      <c r="A62" s="68" t="s">
        <v>74</v>
      </c>
      <c r="B62" s="20" t="s">
        <v>10</v>
      </c>
      <c r="C62" s="21" t="s">
        <v>11</v>
      </c>
      <c r="D62" s="21" t="s">
        <v>29</v>
      </c>
      <c r="E62" s="21" t="s">
        <v>13</v>
      </c>
      <c r="F62" s="21" t="s">
        <v>14</v>
      </c>
      <c r="G62" s="21" t="s">
        <v>15</v>
      </c>
      <c r="H62" s="21" t="s">
        <v>16</v>
      </c>
      <c r="I62" s="21" t="s">
        <v>17</v>
      </c>
      <c r="J62" s="21" t="s">
        <v>18</v>
      </c>
      <c r="K62" s="21" t="s">
        <v>19</v>
      </c>
      <c r="L62" s="21" t="s">
        <v>34</v>
      </c>
      <c r="M62" s="21" t="s">
        <v>21</v>
      </c>
      <c r="N62" s="21" t="s">
        <v>30</v>
      </c>
      <c r="O62" s="21" t="s">
        <v>31</v>
      </c>
      <c r="P62" s="21" t="s">
        <v>24</v>
      </c>
      <c r="Q62" s="21" t="s">
        <v>11</v>
      </c>
      <c r="R62" s="21" t="s">
        <v>14</v>
      </c>
      <c r="S62" s="21" t="s">
        <v>19</v>
      </c>
      <c r="T62" s="22" t="s">
        <v>13</v>
      </c>
      <c r="U62" s="21" t="s">
        <v>19</v>
      </c>
      <c r="V62" s="21" t="s">
        <v>32</v>
      </c>
      <c r="W62" s="21" t="s">
        <v>15</v>
      </c>
      <c r="X62" s="21" t="s">
        <v>23</v>
      </c>
      <c r="Y62" s="21" t="s">
        <v>34</v>
      </c>
      <c r="Z62" s="70">
        <f>SUM(B63:Y63)</f>
        <v>1</v>
      </c>
      <c r="AA62" s="71"/>
    </row>
    <row r="63" spans="1:27" ht="15.75" thickBot="1" x14ac:dyDescent="0.3">
      <c r="A63" s="69"/>
      <c r="B63" s="23">
        <f>IF(B70="Philadelphia Eagles",1,0)</f>
        <v>1</v>
      </c>
      <c r="C63" s="24">
        <f>IF(C70="Kansas City Chiefs",1,0)</f>
        <v>0</v>
      </c>
      <c r="D63" s="24">
        <f>IF(D70="Minnesota Vikings",1,0)</f>
        <v>0</v>
      </c>
      <c r="E63" s="24">
        <f>IF(E70="Los Angeles Rams",1,0)</f>
        <v>0</v>
      </c>
      <c r="F63" s="24">
        <f>IF(F70="Philadelphia Eagles",1,0)</f>
        <v>0</v>
      </c>
      <c r="G63" s="24">
        <f>IF(G70="NE",1,0)</f>
        <v>0</v>
      </c>
      <c r="H63" s="24">
        <f>IF(H70="JAX",1,0)</f>
        <v>0</v>
      </c>
      <c r="I63" s="24">
        <f>IF(I70="CIN",1,0)</f>
        <v>0</v>
      </c>
      <c r="J63" s="24">
        <f>IF(J70="Dallas Cowboys",1,0)</f>
        <v>0</v>
      </c>
      <c r="K63" s="24">
        <f>IF(K70="Tennessee Titans",1,0)</f>
        <v>0</v>
      </c>
      <c r="L63" s="24">
        <f>IF(L70="Atlanta Falcons",1,0)</f>
        <v>0</v>
      </c>
      <c r="M63" s="24">
        <f>IF(M70="Kansas City Chiefs",1,0)</f>
        <v>0</v>
      </c>
      <c r="N63" s="24">
        <f>IF(N70="SEA",1,0)</f>
        <v>0</v>
      </c>
      <c r="O63" s="24">
        <f>IF(O70="Buffalo Bills",1,0)</f>
        <v>0</v>
      </c>
      <c r="P63" s="24">
        <f>IF(P70="NO",1,0)</f>
        <v>0</v>
      </c>
      <c r="Q63" s="24">
        <f>IF(Q70="LAC",1,0)</f>
        <v>0</v>
      </c>
      <c r="R63" s="24">
        <f>IF(R70="Los Angeles Rams",1,0)</f>
        <v>0</v>
      </c>
      <c r="S63" s="24">
        <f>IF(S70="Pittsburgh Steelers",1,0)</f>
        <v>0</v>
      </c>
      <c r="T63" s="24">
        <f>IF(T70="HOU",1,0)</f>
        <v>0</v>
      </c>
      <c r="U63" s="24">
        <f>IF(U70="Kansas City Chiefs",1,0)</f>
        <v>0</v>
      </c>
      <c r="V63" s="24">
        <f>IF(V70="Baltimore Ravens",1,0)</f>
        <v>0</v>
      </c>
      <c r="W63" s="24">
        <f>IF(W70="LAR",1,0)</f>
        <v>0</v>
      </c>
      <c r="X63" s="24">
        <f>IF(X70="Philadelphia Eagles",1,0)</f>
        <v>0</v>
      </c>
      <c r="Y63" s="25">
        <f>IF(Y70="DAL",1,0)</f>
        <v>0</v>
      </c>
      <c r="Z63" s="72"/>
      <c r="AA63" s="73"/>
    </row>
    <row r="64" spans="1:27" x14ac:dyDescent="0.25">
      <c r="A64" s="74" t="s">
        <v>75</v>
      </c>
      <c r="B64" s="20" t="s">
        <v>10</v>
      </c>
      <c r="C64" s="21" t="s">
        <v>28</v>
      </c>
      <c r="D64" s="21" t="s">
        <v>29</v>
      </c>
      <c r="E64" s="21" t="s">
        <v>13</v>
      </c>
      <c r="F64" s="21" t="s">
        <v>14</v>
      </c>
      <c r="G64" s="21" t="s">
        <v>15</v>
      </c>
      <c r="H64" s="21" t="s">
        <v>38</v>
      </c>
      <c r="I64" s="21" t="s">
        <v>17</v>
      </c>
      <c r="J64" s="21" t="s">
        <v>18</v>
      </c>
      <c r="K64" s="21" t="s">
        <v>19</v>
      </c>
      <c r="L64" s="21" t="s">
        <v>20</v>
      </c>
      <c r="M64" s="21" t="s">
        <v>21</v>
      </c>
      <c r="N64" s="21" t="s">
        <v>30</v>
      </c>
      <c r="O64" s="21" t="s">
        <v>31</v>
      </c>
      <c r="P64" s="21" t="s">
        <v>36</v>
      </c>
      <c r="Q64" s="21" t="s">
        <v>25</v>
      </c>
      <c r="R64" s="21" t="s">
        <v>14</v>
      </c>
      <c r="S64" s="21" t="s">
        <v>19</v>
      </c>
      <c r="T64" s="22" t="s">
        <v>13</v>
      </c>
      <c r="U64" s="21" t="s">
        <v>19</v>
      </c>
      <c r="V64" s="21" t="s">
        <v>32</v>
      </c>
      <c r="W64" s="21" t="s">
        <v>15</v>
      </c>
      <c r="X64" s="21" t="s">
        <v>23</v>
      </c>
      <c r="Y64" s="21" t="s">
        <v>34</v>
      </c>
      <c r="Z64" s="70">
        <f>SUM(B65:Y65)</f>
        <v>1</v>
      </c>
      <c r="AA64" s="71"/>
    </row>
    <row r="65" spans="1:50" ht="15.75" thickBot="1" x14ac:dyDescent="0.3">
      <c r="A65" s="75"/>
      <c r="B65" s="23">
        <f>IF(B70="Philadelphia Eagles",1,0)</f>
        <v>1</v>
      </c>
      <c r="C65" s="24">
        <f>IF(C70="Kansas City Chiefs",1,0)</f>
        <v>0</v>
      </c>
      <c r="D65" s="24">
        <f>IF(D70="Minnesota Vikings",1,0)</f>
        <v>0</v>
      </c>
      <c r="E65" s="24">
        <f>IF(E70="Los Angeles Rams",1,0)</f>
        <v>0</v>
      </c>
      <c r="F65" s="24">
        <f>IF(F70="Philadelphia Eagles",1,0)</f>
        <v>0</v>
      </c>
      <c r="G65" s="24">
        <f>IF(G70="New York Jets",1,0)</f>
        <v>0</v>
      </c>
      <c r="H65" s="24">
        <f>IF(H70="Buffalo Bills",1,0)</f>
        <v>0</v>
      </c>
      <c r="I65" s="24">
        <f>IF(I70="CIN",1,0)</f>
        <v>0</v>
      </c>
      <c r="J65" s="24">
        <f>IF(J70="Dallas Cowboys",1,0)</f>
        <v>0</v>
      </c>
      <c r="K65" s="24">
        <f>IF(K70="MIA",1,0)</f>
        <v>0</v>
      </c>
      <c r="L65" s="24">
        <f>IF(L70="Atlanta Falcons",1,0)</f>
        <v>0</v>
      </c>
      <c r="M65" s="24">
        <f>IF(M70="Kansas City Chiefs",1,0)</f>
        <v>0</v>
      </c>
      <c r="N65" s="24">
        <f>IF(N70="San Francisco 49ers",1,0)</f>
        <v>0</v>
      </c>
      <c r="O65" s="24">
        <f>IF(O70="NYJ",1,0)</f>
        <v>0</v>
      </c>
      <c r="P65" s="24">
        <f>IF(P70="NO",1,0)</f>
        <v>0</v>
      </c>
      <c r="Q65" s="24">
        <f>IF(Q70="LAC",1,0)</f>
        <v>0</v>
      </c>
      <c r="R65" s="24">
        <f>IF(R70="Los Angeles Rams",1,0)</f>
        <v>0</v>
      </c>
      <c r="S65" s="24">
        <f>IF(S70="Pittsburgh Steelers",1,0)</f>
        <v>0</v>
      </c>
      <c r="T65" s="24">
        <f>IF(T70="New York Jets",1,0)</f>
        <v>0</v>
      </c>
      <c r="U65" s="24">
        <f>IF(U70="Kansas City Chiefs",1,0)</f>
        <v>0</v>
      </c>
      <c r="V65" s="24">
        <f>IF(V70="Baltimore Ravens",1,0)</f>
        <v>0</v>
      </c>
      <c r="W65" s="24">
        <f>IF(W70="LAR",1,0)</f>
        <v>0</v>
      </c>
      <c r="X65" s="24">
        <f>IF(X70="Philadelphia Eagles",1,0)</f>
        <v>0</v>
      </c>
      <c r="Y65" s="25">
        <f>IF(Y70="Houston Texans",1,0)</f>
        <v>0</v>
      </c>
      <c r="Z65" s="72"/>
      <c r="AA65" s="73"/>
    </row>
    <row r="66" spans="1:50" x14ac:dyDescent="0.25">
      <c r="A66" s="74" t="s">
        <v>76</v>
      </c>
      <c r="B66" s="20" t="s">
        <v>10</v>
      </c>
      <c r="C66" s="21" t="s">
        <v>11</v>
      </c>
      <c r="D66" s="21" t="s">
        <v>12</v>
      </c>
      <c r="E66" s="21" t="s">
        <v>13</v>
      </c>
      <c r="F66" s="21" t="s">
        <v>14</v>
      </c>
      <c r="G66" s="21" t="s">
        <v>66</v>
      </c>
      <c r="H66" s="21" t="s">
        <v>16</v>
      </c>
      <c r="I66" s="21" t="s">
        <v>17</v>
      </c>
      <c r="J66" s="21" t="s">
        <v>18</v>
      </c>
      <c r="K66" s="21" t="s">
        <v>19</v>
      </c>
      <c r="L66" s="21" t="s">
        <v>34</v>
      </c>
      <c r="M66" s="21" t="s">
        <v>21</v>
      </c>
      <c r="N66" s="21" t="s">
        <v>22</v>
      </c>
      <c r="O66" s="21" t="s">
        <v>31</v>
      </c>
      <c r="P66" s="21" t="s">
        <v>24</v>
      </c>
      <c r="Q66" s="21" t="s">
        <v>11</v>
      </c>
      <c r="R66" s="21" t="s">
        <v>14</v>
      </c>
      <c r="S66" s="21" t="s">
        <v>19</v>
      </c>
      <c r="T66" s="22" t="s">
        <v>13</v>
      </c>
      <c r="U66" s="21" t="s">
        <v>19</v>
      </c>
      <c r="V66" s="21" t="s">
        <v>32</v>
      </c>
      <c r="W66" s="21" t="s">
        <v>15</v>
      </c>
      <c r="X66" s="21" t="s">
        <v>23</v>
      </c>
      <c r="Y66" s="21" t="s">
        <v>34</v>
      </c>
      <c r="Z66" s="70">
        <f>SUM(B67:Y67)</f>
        <v>1</v>
      </c>
      <c r="AA66" s="71"/>
    </row>
    <row r="67" spans="1:50" ht="15.75" thickBot="1" x14ac:dyDescent="0.3">
      <c r="A67" s="75"/>
      <c r="B67" s="23">
        <f>IF(B70="Philadelphia Eagles",1,0)</f>
        <v>1</v>
      </c>
      <c r="C67" s="24">
        <f>IF(C70="Kansas City Chiefs",1,0)</f>
        <v>0</v>
      </c>
      <c r="D67" s="24">
        <f>IF(D70="Minnesota Vikings",1,0)</f>
        <v>0</v>
      </c>
      <c r="E67" s="24">
        <f>IF(E70="Los Angeles Rams",1,0)</f>
        <v>0</v>
      </c>
      <c r="F67" s="24">
        <f>IF(F70="Philadelphia Eagles",1,0)</f>
        <v>0</v>
      </c>
      <c r="G67" s="24">
        <f>IF(G70="New York Jets",1,0)</f>
        <v>0</v>
      </c>
      <c r="H67" s="24">
        <f>IF(H70="Buffalo Bills",1,0)</f>
        <v>0</v>
      </c>
      <c r="I67" s="24">
        <f>IF(I70="CIN",1,0)</f>
        <v>0</v>
      </c>
      <c r="J67" s="24">
        <f>IF(J70="Dallas Cowboys",1,0)</f>
        <v>0</v>
      </c>
      <c r="K67" s="24">
        <f>IF(K70="MIA",1,0)</f>
        <v>0</v>
      </c>
      <c r="L67" s="24">
        <f>IF(L70="Atlanta Falcons",1,0)</f>
        <v>0</v>
      </c>
      <c r="M67" s="24">
        <f>IF(M70="Kansas City Chiefs",1,0)</f>
        <v>0</v>
      </c>
      <c r="N67" s="24">
        <f>IF(N70="San Francisco 49ers",1,0)</f>
        <v>0</v>
      </c>
      <c r="O67" s="24">
        <f>IF(O70="NYJ",1,0)</f>
        <v>0</v>
      </c>
      <c r="P67" s="24">
        <f>IF(P70="NO",1,0)</f>
        <v>0</v>
      </c>
      <c r="Q67" s="24">
        <f>IF(Q70="LAC",1,0)</f>
        <v>0</v>
      </c>
      <c r="R67" s="24">
        <f>IF(R70="Los Angeles Rams",1,0)</f>
        <v>0</v>
      </c>
      <c r="S67" s="24">
        <f>IF(S70="Pittsburgh Steelers",1,0)</f>
        <v>0</v>
      </c>
      <c r="T67" s="24">
        <f>IF(T70="New York Jets",1,0)</f>
        <v>0</v>
      </c>
      <c r="U67" s="24">
        <f>IF(U70="Kansas City Chiefs",1,0)</f>
        <v>0</v>
      </c>
      <c r="V67" s="24">
        <f>IF(V70="CIN",1,0)</f>
        <v>0</v>
      </c>
      <c r="W67" s="24">
        <f>IF(W70="LAR",1,0)</f>
        <v>0</v>
      </c>
      <c r="X67" s="24">
        <f>IF(X70="Philadelphia Eagles",1,0)</f>
        <v>0</v>
      </c>
      <c r="Y67" s="25">
        <f>IF(Y70="Houston Texans",1,0)</f>
        <v>0</v>
      </c>
      <c r="Z67" s="72"/>
      <c r="AA67" s="73"/>
    </row>
    <row r="68" spans="1:50" x14ac:dyDescent="0.25">
      <c r="A68" s="74" t="s">
        <v>77</v>
      </c>
      <c r="B68" s="20" t="s">
        <v>10</v>
      </c>
      <c r="C68" s="21" t="s">
        <v>11</v>
      </c>
      <c r="D68" s="21" t="s">
        <v>12</v>
      </c>
      <c r="E68" s="21" t="s">
        <v>13</v>
      </c>
      <c r="F68" s="21" t="s">
        <v>14</v>
      </c>
      <c r="G68" s="21" t="s">
        <v>15</v>
      </c>
      <c r="H68" s="21" t="s">
        <v>38</v>
      </c>
      <c r="I68" s="21" t="s">
        <v>17</v>
      </c>
      <c r="J68" s="21" t="s">
        <v>26</v>
      </c>
      <c r="K68" s="21" t="s">
        <v>19</v>
      </c>
      <c r="L68" s="21" t="s">
        <v>34</v>
      </c>
      <c r="M68" s="21" t="s">
        <v>21</v>
      </c>
      <c r="N68" s="21" t="s">
        <v>30</v>
      </c>
      <c r="O68" s="21" t="s">
        <v>23</v>
      </c>
      <c r="P68" s="21" t="s">
        <v>24</v>
      </c>
      <c r="Q68" s="21" t="s">
        <v>11</v>
      </c>
      <c r="R68" s="21" t="s">
        <v>14</v>
      </c>
      <c r="S68" s="21" t="s">
        <v>19</v>
      </c>
      <c r="T68" s="22" t="s">
        <v>26</v>
      </c>
      <c r="U68" s="21" t="s">
        <v>19</v>
      </c>
      <c r="V68" s="21" t="s">
        <v>25</v>
      </c>
      <c r="W68" s="21" t="s">
        <v>28</v>
      </c>
      <c r="X68" s="21" t="s">
        <v>33</v>
      </c>
      <c r="Y68" s="21" t="s">
        <v>26</v>
      </c>
      <c r="Z68" s="70">
        <f>SUM(B69:Y69)</f>
        <v>1</v>
      </c>
      <c r="AA68" s="71"/>
    </row>
    <row r="69" spans="1:50" ht="15.75" thickBot="1" x14ac:dyDescent="0.3">
      <c r="A69" s="75"/>
      <c r="B69" s="23">
        <f>IF(B70="Philadelphia Eagles",1,0)</f>
        <v>1</v>
      </c>
      <c r="C69" s="24">
        <f>IF(C72="Kansas City Chiefs",1,0)</f>
        <v>0</v>
      </c>
      <c r="D69" s="24">
        <f>IF(D72="Minnesota Vikings",1,0)</f>
        <v>0</v>
      </c>
      <c r="E69" s="24">
        <f>IF(E72="Los Angeles Rams",1,0)</f>
        <v>0</v>
      </c>
      <c r="F69" s="24">
        <f>IF(F72="Philadelphia Eagles",1,0)</f>
        <v>0</v>
      </c>
      <c r="G69" s="24">
        <f>IF(G72="New York Jets",1,0)</f>
        <v>0</v>
      </c>
      <c r="H69" s="24">
        <f>IF(H72="Buffalo Bills",1,0)</f>
        <v>0</v>
      </c>
      <c r="I69" s="24">
        <f>IF(I72="CIN",1,0)</f>
        <v>0</v>
      </c>
      <c r="J69" s="24">
        <f>IF(J72="Dallas Cowboys",1,0)</f>
        <v>0</v>
      </c>
      <c r="K69" s="24">
        <f>IF(K72="MIA",1,0)</f>
        <v>0</v>
      </c>
      <c r="L69" s="24">
        <f>IF(L72="Atlanta Falcons",1,0)</f>
        <v>0</v>
      </c>
      <c r="M69" s="24">
        <f>IF(M72="Kansas City Chiefs",1,0)</f>
        <v>0</v>
      </c>
      <c r="N69" s="24">
        <f>IF(N72="San Francisco 49ers",1,0)</f>
        <v>0</v>
      </c>
      <c r="O69" s="24">
        <f>IF(O72="NYJ",1,0)</f>
        <v>0</v>
      </c>
      <c r="P69" s="24">
        <f>IF(P72="NO",1,0)</f>
        <v>0</v>
      </c>
      <c r="Q69" s="24">
        <f>IF(Q72="LAC",1,0)</f>
        <v>0</v>
      </c>
      <c r="R69" s="24">
        <f>IF(R72="Los Angeles Rams",1,0)</f>
        <v>0</v>
      </c>
      <c r="S69" s="24">
        <f>IF(S72="Pittsburgh Steelers",1,0)</f>
        <v>0</v>
      </c>
      <c r="T69" s="24">
        <f>IF(T72="New York Jets",1,0)</f>
        <v>0</v>
      </c>
      <c r="U69" s="24">
        <f>IF(U72="Kansas City Chiefs",1,0)</f>
        <v>0</v>
      </c>
      <c r="V69" s="24">
        <f>IF(V72="CIN",1,0)</f>
        <v>0</v>
      </c>
      <c r="W69" s="24">
        <f>IF(W72="LAR",1,0)</f>
        <v>0</v>
      </c>
      <c r="X69" s="24">
        <f>IF(X72="Philadelphia Eagles",1,0)</f>
        <v>0</v>
      </c>
      <c r="Y69" s="25">
        <f>IF(Y72="Houston Texans",1,0)</f>
        <v>0</v>
      </c>
      <c r="Z69" s="72"/>
      <c r="AA69" s="73"/>
    </row>
    <row r="70" spans="1:50" ht="15.75" thickBot="1" x14ac:dyDescent="0.3">
      <c r="A70" s="27" t="s">
        <v>47</v>
      </c>
      <c r="B70" s="28" t="s">
        <v>48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9"/>
      <c r="R70" s="28"/>
      <c r="S70" s="29"/>
      <c r="T70" s="28"/>
      <c r="U70" s="29"/>
      <c r="V70" s="28"/>
      <c r="W70" s="29"/>
      <c r="X70" s="28"/>
      <c r="Y70" s="29"/>
      <c r="Z70" s="30"/>
      <c r="AA70" s="31"/>
    </row>
    <row r="71" spans="1:50" ht="15.75" thickBot="1" x14ac:dyDescent="0.3">
      <c r="A71" s="32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64"/>
      <c r="AO71" s="64"/>
    </row>
    <row r="72" spans="1:50" ht="16.5" customHeight="1" thickTop="1" thickBot="1" x14ac:dyDescent="0.3">
      <c r="A72" s="86" t="s">
        <v>49</v>
      </c>
      <c r="B72" s="89" t="s">
        <v>50</v>
      </c>
      <c r="C72" s="90"/>
      <c r="D72" s="90"/>
      <c r="E72" s="90"/>
      <c r="F72" s="90"/>
      <c r="G72" s="90"/>
      <c r="H72" s="90"/>
      <c r="I72" s="90"/>
      <c r="J72" s="91"/>
      <c r="K72" s="34"/>
      <c r="L72" s="89" t="s">
        <v>51</v>
      </c>
      <c r="M72" s="90"/>
      <c r="N72" s="90"/>
      <c r="O72" s="90"/>
      <c r="P72" s="90"/>
      <c r="Q72" s="90"/>
      <c r="R72" s="91"/>
      <c r="S72" s="35"/>
      <c r="T72" s="36" t="s">
        <v>52</v>
      </c>
      <c r="U72" s="37"/>
      <c r="V72" s="37"/>
      <c r="W72" s="38"/>
      <c r="X72" s="92" t="s">
        <v>53</v>
      </c>
      <c r="Y72" s="93"/>
      <c r="Z72" s="94"/>
      <c r="AA72" s="35"/>
      <c r="AB72" s="35"/>
      <c r="AC72" s="92" t="s">
        <v>54</v>
      </c>
      <c r="AD72" s="94"/>
      <c r="AE72" s="92" t="s">
        <v>55</v>
      </c>
      <c r="AF72" s="122"/>
      <c r="AG72" s="125" t="s">
        <v>56</v>
      </c>
      <c r="AH72" s="126"/>
      <c r="AI72" s="127"/>
      <c r="AJ72" s="134" t="s">
        <v>57</v>
      </c>
      <c r="AK72" s="105"/>
      <c r="AL72" s="105"/>
      <c r="AM72" s="105"/>
      <c r="AN72" s="105"/>
      <c r="AO72" s="105"/>
    </row>
    <row r="73" spans="1:50" ht="15" customHeight="1" x14ac:dyDescent="0.25">
      <c r="A73" s="87"/>
      <c r="B73" s="135" t="s">
        <v>58</v>
      </c>
      <c r="C73" s="136"/>
      <c r="D73" s="136"/>
      <c r="E73" s="136"/>
      <c r="F73" s="39"/>
      <c r="G73" s="137" t="s">
        <v>59</v>
      </c>
      <c r="H73" s="136"/>
      <c r="I73" s="136"/>
      <c r="J73" s="138"/>
      <c r="K73" s="40"/>
      <c r="L73" s="139" t="s">
        <v>58</v>
      </c>
      <c r="M73" s="140"/>
      <c r="N73" s="140"/>
      <c r="O73" s="39"/>
      <c r="P73" s="143" t="s">
        <v>59</v>
      </c>
      <c r="Q73" s="140"/>
      <c r="R73" s="144"/>
      <c r="S73" s="34"/>
      <c r="T73" s="139" t="s">
        <v>58</v>
      </c>
      <c r="U73" s="147"/>
      <c r="V73" s="143" t="s">
        <v>59</v>
      </c>
      <c r="W73" s="144"/>
      <c r="X73" s="95"/>
      <c r="Y73" s="96"/>
      <c r="Z73" s="97"/>
      <c r="AA73" s="35"/>
      <c r="AB73" s="35"/>
      <c r="AC73" s="95"/>
      <c r="AD73" s="97"/>
      <c r="AE73" s="95"/>
      <c r="AF73" s="123"/>
      <c r="AG73" s="128"/>
      <c r="AH73" s="129"/>
      <c r="AI73" s="130"/>
      <c r="AJ73" s="134"/>
      <c r="AK73" s="105"/>
      <c r="AL73" s="105"/>
      <c r="AM73" s="105"/>
      <c r="AN73" s="105"/>
      <c r="AO73" s="105"/>
      <c r="AP73" s="107" t="s">
        <v>60</v>
      </c>
      <c r="AQ73" s="107"/>
      <c r="AR73" s="107"/>
      <c r="AS73" s="107"/>
      <c r="AT73" s="107"/>
      <c r="AU73" s="107"/>
      <c r="AV73" s="107"/>
      <c r="AW73" s="107"/>
      <c r="AX73" s="107"/>
    </row>
    <row r="74" spans="1:50" ht="15.75" customHeight="1" thickBot="1" x14ac:dyDescent="0.3">
      <c r="A74" s="88"/>
      <c r="B74" s="42" t="s">
        <v>61</v>
      </c>
      <c r="C74" s="43" t="s">
        <v>62</v>
      </c>
      <c r="D74" s="44" t="s">
        <v>63</v>
      </c>
      <c r="E74" s="44" t="s">
        <v>64</v>
      </c>
      <c r="F74" s="45"/>
      <c r="G74" s="44" t="s">
        <v>61</v>
      </c>
      <c r="H74" s="44" t="s">
        <v>62</v>
      </c>
      <c r="I74" s="44" t="s">
        <v>63</v>
      </c>
      <c r="J74" s="44" t="s">
        <v>64</v>
      </c>
      <c r="K74" s="40"/>
      <c r="L74" s="141"/>
      <c r="M74" s="142"/>
      <c r="N74" s="142"/>
      <c r="O74" s="46"/>
      <c r="P74" s="145"/>
      <c r="Q74" s="142"/>
      <c r="R74" s="146"/>
      <c r="S74" s="40"/>
      <c r="T74" s="141"/>
      <c r="U74" s="148"/>
      <c r="V74" s="145"/>
      <c r="W74" s="146"/>
      <c r="X74" s="98"/>
      <c r="Y74" s="99"/>
      <c r="Z74" s="100"/>
      <c r="AA74" s="47"/>
      <c r="AB74" s="48" t="s">
        <v>89</v>
      </c>
      <c r="AC74" s="98"/>
      <c r="AD74" s="100"/>
      <c r="AE74" s="98"/>
      <c r="AF74" s="124"/>
      <c r="AG74" s="131"/>
      <c r="AH74" s="132"/>
      <c r="AI74" s="133"/>
      <c r="AJ74" s="134"/>
      <c r="AK74" s="105"/>
      <c r="AL74" s="105"/>
      <c r="AM74" s="105"/>
      <c r="AN74" s="105"/>
      <c r="AO74" s="105"/>
    </row>
    <row r="75" spans="1:50" x14ac:dyDescent="0.25">
      <c r="A75" s="101" t="s">
        <v>67</v>
      </c>
      <c r="B75" s="57" t="s">
        <v>21</v>
      </c>
      <c r="C75" s="58" t="s">
        <v>14</v>
      </c>
      <c r="D75" s="58" t="s">
        <v>18</v>
      </c>
      <c r="E75" s="58" t="s">
        <v>11</v>
      </c>
      <c r="F75" s="51"/>
      <c r="G75" s="58" t="s">
        <v>10</v>
      </c>
      <c r="H75" s="58" t="s">
        <v>24</v>
      </c>
      <c r="I75" s="58" t="s">
        <v>19</v>
      </c>
      <c r="J75" s="59" t="s">
        <v>13</v>
      </c>
      <c r="K75" s="35"/>
      <c r="L75" s="57" t="s">
        <v>21</v>
      </c>
      <c r="M75" s="58" t="s">
        <v>14</v>
      </c>
      <c r="N75" s="58" t="s">
        <v>11</v>
      </c>
      <c r="O75" s="51"/>
      <c r="P75" s="58" t="s">
        <v>10</v>
      </c>
      <c r="Q75" s="58" t="s">
        <v>24</v>
      </c>
      <c r="R75" s="59" t="s">
        <v>13</v>
      </c>
      <c r="T75" s="103" t="s">
        <v>11</v>
      </c>
      <c r="U75" s="104"/>
      <c r="V75" s="105" t="s">
        <v>10</v>
      </c>
      <c r="W75" s="105"/>
      <c r="X75" s="170" t="s">
        <v>11</v>
      </c>
      <c r="Y75" s="173"/>
      <c r="Z75" s="165"/>
      <c r="AA75" s="61"/>
      <c r="AB75" s="62"/>
      <c r="AC75" s="114">
        <f>SUM(B76:Z76)</f>
        <v>0</v>
      </c>
      <c r="AD75" s="115"/>
      <c r="AE75" s="114">
        <f>Z50</f>
        <v>1</v>
      </c>
      <c r="AF75" s="71"/>
      <c r="AG75" s="157">
        <f>SUM(AC75,AE75)</f>
        <v>1</v>
      </c>
      <c r="AH75" s="158"/>
      <c r="AI75" s="159"/>
      <c r="AK75" s="119">
        <f>SUM(AB76,AG75)</f>
        <v>1</v>
      </c>
      <c r="AL75" s="119"/>
      <c r="AM75" s="119"/>
      <c r="AN75" s="119"/>
    </row>
    <row r="76" spans="1:50" ht="15.75" thickBot="1" x14ac:dyDescent="0.3">
      <c r="A76" s="102"/>
      <c r="B76" s="57"/>
      <c r="C76" s="58"/>
      <c r="D76" s="58"/>
      <c r="E76" s="58"/>
      <c r="F76" s="51"/>
      <c r="G76" s="58"/>
      <c r="H76" s="58"/>
      <c r="I76" s="58"/>
      <c r="J76" s="59"/>
      <c r="K76" s="35"/>
      <c r="L76" s="57"/>
      <c r="M76" s="58"/>
      <c r="N76" s="58"/>
      <c r="O76" s="51"/>
      <c r="P76" s="58"/>
      <c r="Q76" s="58"/>
      <c r="R76" s="59"/>
      <c r="S76" s="35"/>
      <c r="T76" s="150"/>
      <c r="U76" s="151"/>
      <c r="V76" s="152"/>
      <c r="W76" s="153"/>
      <c r="X76" s="167"/>
      <c r="Y76" s="168"/>
      <c r="Z76" s="153"/>
      <c r="AB76" s="35">
        <v>0</v>
      </c>
      <c r="AC76" s="116"/>
      <c r="AD76" s="117"/>
      <c r="AE76" s="116"/>
      <c r="AF76" s="73"/>
      <c r="AG76" s="72"/>
      <c r="AH76" s="121"/>
      <c r="AI76" s="73"/>
      <c r="AK76" s="119"/>
      <c r="AL76" s="119"/>
      <c r="AM76" s="119"/>
      <c r="AN76" s="119"/>
    </row>
    <row r="77" spans="1:50" x14ac:dyDescent="0.25">
      <c r="A77" s="87" t="s">
        <v>68</v>
      </c>
      <c r="B77" s="57" t="s">
        <v>21</v>
      </c>
      <c r="C77" s="58" t="s">
        <v>14</v>
      </c>
      <c r="D77" s="58" t="s">
        <v>33</v>
      </c>
      <c r="E77" s="58" t="s">
        <v>11</v>
      </c>
      <c r="F77" s="51"/>
      <c r="G77" s="58" t="s">
        <v>10</v>
      </c>
      <c r="H77" s="58" t="s">
        <v>12</v>
      </c>
      <c r="I77" s="58" t="s">
        <v>44</v>
      </c>
      <c r="J77" s="59" t="s">
        <v>26</v>
      </c>
      <c r="K77" s="35"/>
      <c r="L77" s="57" t="s">
        <v>66</v>
      </c>
      <c r="M77" s="58" t="s">
        <v>16</v>
      </c>
      <c r="N77" s="58" t="s">
        <v>38</v>
      </c>
      <c r="O77" s="51"/>
      <c r="P77" s="58" t="s">
        <v>32</v>
      </c>
      <c r="Q77" s="58" t="s">
        <v>12</v>
      </c>
      <c r="R77" s="59" t="s">
        <v>34</v>
      </c>
      <c r="S77" s="35"/>
      <c r="T77" s="103" t="s">
        <v>21</v>
      </c>
      <c r="U77" s="104"/>
      <c r="V77" s="105" t="s">
        <v>10</v>
      </c>
      <c r="W77" s="105"/>
      <c r="X77" s="170" t="s">
        <v>21</v>
      </c>
      <c r="Y77" s="173"/>
      <c r="Z77" s="165"/>
      <c r="AA77" s="35"/>
      <c r="AB77" s="35"/>
      <c r="AC77" s="174">
        <f>SUM(B78:Z78)</f>
        <v>0</v>
      </c>
      <c r="AD77" s="175"/>
      <c r="AE77" s="114">
        <f>Z52</f>
        <v>1</v>
      </c>
      <c r="AF77" s="71"/>
      <c r="AG77" s="157">
        <f t="shared" ref="AG77" si="24">SUM(AC77,AE77)</f>
        <v>1</v>
      </c>
      <c r="AH77" s="158"/>
      <c r="AI77" s="159"/>
      <c r="AK77" s="119">
        <f t="shared" ref="AK77" si="25">SUM(AB78,AG77)</f>
        <v>1</v>
      </c>
      <c r="AL77" s="119"/>
      <c r="AM77" s="119"/>
      <c r="AN77" s="119"/>
    </row>
    <row r="78" spans="1:50" ht="15.75" thickBot="1" x14ac:dyDescent="0.3">
      <c r="A78" s="161"/>
      <c r="B78" s="57"/>
      <c r="C78" s="58"/>
      <c r="D78" s="58"/>
      <c r="E78" s="58"/>
      <c r="F78" s="65"/>
      <c r="G78" s="58"/>
      <c r="H78" s="58"/>
      <c r="I78" s="58"/>
      <c r="J78" s="59"/>
      <c r="K78" s="40"/>
      <c r="L78" s="57"/>
      <c r="M78" s="58"/>
      <c r="N78" s="58"/>
      <c r="O78" s="51"/>
      <c r="P78" s="58"/>
      <c r="Q78" s="58"/>
      <c r="R78" s="59"/>
      <c r="S78" s="34"/>
      <c r="T78" s="150"/>
      <c r="U78" s="151"/>
      <c r="V78" s="152"/>
      <c r="W78" s="153"/>
      <c r="X78" s="167"/>
      <c r="Y78" s="168"/>
      <c r="Z78" s="153"/>
      <c r="AA78" s="35"/>
      <c r="AB78" s="35">
        <v>0</v>
      </c>
      <c r="AC78" s="116"/>
      <c r="AD78" s="117"/>
      <c r="AE78" s="116"/>
      <c r="AF78" s="73"/>
      <c r="AG78" s="72"/>
      <c r="AH78" s="121"/>
      <c r="AI78" s="73"/>
      <c r="AK78" s="119"/>
      <c r="AL78" s="119"/>
      <c r="AM78" s="119"/>
      <c r="AN78" s="119"/>
    </row>
    <row r="79" spans="1:50" x14ac:dyDescent="0.25">
      <c r="A79" s="101" t="s">
        <v>69</v>
      </c>
      <c r="B79" s="57" t="s">
        <v>21</v>
      </c>
      <c r="C79" s="58" t="s">
        <v>14</v>
      </c>
      <c r="D79" s="58" t="s">
        <v>33</v>
      </c>
      <c r="E79" s="58" t="s">
        <v>38</v>
      </c>
      <c r="F79" s="51"/>
      <c r="G79" s="58" t="s">
        <v>10</v>
      </c>
      <c r="H79" s="58" t="s">
        <v>24</v>
      </c>
      <c r="I79" s="58" t="s">
        <v>19</v>
      </c>
      <c r="J79" s="59" t="s">
        <v>34</v>
      </c>
      <c r="K79" s="35"/>
      <c r="L79" s="57" t="s">
        <v>15</v>
      </c>
      <c r="M79" s="58" t="s">
        <v>66</v>
      </c>
      <c r="N79" s="58" t="s">
        <v>28</v>
      </c>
      <c r="O79" s="51"/>
      <c r="P79" s="58" t="s">
        <v>24</v>
      </c>
      <c r="Q79" s="58" t="s">
        <v>13</v>
      </c>
      <c r="R79" s="59" t="s">
        <v>25</v>
      </c>
      <c r="S79" s="35"/>
      <c r="T79" s="103" t="s">
        <v>11</v>
      </c>
      <c r="U79" s="104"/>
      <c r="V79" s="105" t="s">
        <v>10</v>
      </c>
      <c r="W79" s="105"/>
      <c r="X79" s="170" t="s">
        <v>11</v>
      </c>
      <c r="Y79" s="173"/>
      <c r="Z79" s="165"/>
      <c r="AA79" s="61"/>
      <c r="AB79" s="55"/>
      <c r="AC79" s="114">
        <f t="shared" ref="AC79" si="26">SUM(B80:Z80)</f>
        <v>0</v>
      </c>
      <c r="AD79" s="115"/>
      <c r="AE79" s="114">
        <f t="shared" ref="AE79" si="27">Z54</f>
        <v>0</v>
      </c>
      <c r="AF79" s="71"/>
      <c r="AG79" s="157">
        <f t="shared" ref="AG79" si="28">SUM(AC79,AE79)</f>
        <v>0</v>
      </c>
      <c r="AH79" s="158"/>
      <c r="AI79" s="159"/>
      <c r="AK79" s="119">
        <f t="shared" ref="AK79" si="29">SUM(AB80,AG79)</f>
        <v>0</v>
      </c>
      <c r="AL79" s="119"/>
      <c r="AM79" s="119"/>
      <c r="AN79" s="119"/>
      <c r="AP79" s="166"/>
      <c r="AQ79" s="166"/>
      <c r="AR79" s="166"/>
      <c r="AS79" s="166"/>
      <c r="AT79" s="166"/>
      <c r="AU79" s="166"/>
      <c r="AV79" s="166"/>
      <c r="AW79" s="166"/>
      <c r="AX79" s="166"/>
    </row>
    <row r="80" spans="1:50" ht="15.75" thickBot="1" x14ac:dyDescent="0.3">
      <c r="A80" s="102"/>
      <c r="B80" s="57"/>
      <c r="C80" s="58"/>
      <c r="D80" s="58"/>
      <c r="E80" s="58"/>
      <c r="F80" s="65"/>
      <c r="G80" s="58"/>
      <c r="H80" s="58"/>
      <c r="I80" s="58"/>
      <c r="J80" s="59"/>
      <c r="K80" s="40"/>
      <c r="L80" s="57"/>
      <c r="M80" s="58"/>
      <c r="N80" s="58"/>
      <c r="O80" s="51"/>
      <c r="P80" s="58"/>
      <c r="Q80" s="58"/>
      <c r="R80" s="59"/>
      <c r="S80" s="34"/>
      <c r="T80" s="150"/>
      <c r="U80" s="151"/>
      <c r="V80" s="152"/>
      <c r="W80" s="153"/>
      <c r="X80" s="167"/>
      <c r="Y80" s="168"/>
      <c r="Z80" s="153"/>
      <c r="AA80" s="61"/>
      <c r="AB80" s="55">
        <v>0</v>
      </c>
      <c r="AC80" s="116"/>
      <c r="AD80" s="117"/>
      <c r="AE80" s="116"/>
      <c r="AF80" s="73"/>
      <c r="AG80" s="72"/>
      <c r="AH80" s="121"/>
      <c r="AI80" s="73"/>
      <c r="AK80" s="119"/>
      <c r="AL80" s="119"/>
      <c r="AM80" s="119"/>
      <c r="AN80" s="119"/>
      <c r="AP80" s="166"/>
      <c r="AQ80" s="166"/>
      <c r="AR80" s="166"/>
      <c r="AS80" s="166"/>
      <c r="AT80" s="166"/>
      <c r="AU80" s="166"/>
      <c r="AV80" s="166"/>
      <c r="AW80" s="166"/>
      <c r="AX80" s="166"/>
    </row>
    <row r="81" spans="1:50" x14ac:dyDescent="0.25">
      <c r="A81" s="101" t="s">
        <v>71</v>
      </c>
      <c r="B81" s="66" t="s">
        <v>43</v>
      </c>
      <c r="C81" s="65" t="s">
        <v>14</v>
      </c>
      <c r="D81" s="65" t="s">
        <v>18</v>
      </c>
      <c r="E81" s="65" t="s">
        <v>11</v>
      </c>
      <c r="F81" s="51"/>
      <c r="G81" s="65" t="s">
        <v>10</v>
      </c>
      <c r="H81" s="65" t="s">
        <v>36</v>
      </c>
      <c r="I81" s="65" t="s">
        <v>19</v>
      </c>
      <c r="J81" s="67" t="s">
        <v>34</v>
      </c>
      <c r="K81" s="53"/>
      <c r="L81" s="66" t="s">
        <v>21</v>
      </c>
      <c r="M81" s="65" t="s">
        <v>28</v>
      </c>
      <c r="N81" s="65" t="s">
        <v>17</v>
      </c>
      <c r="O81" s="51"/>
      <c r="P81" s="65" t="s">
        <v>24</v>
      </c>
      <c r="Q81" s="65" t="s">
        <v>13</v>
      </c>
      <c r="R81" s="67" t="s">
        <v>26</v>
      </c>
      <c r="S81" s="53"/>
      <c r="T81" s="103" t="s">
        <v>34</v>
      </c>
      <c r="U81" s="104"/>
      <c r="V81" s="105" t="s">
        <v>11</v>
      </c>
      <c r="W81" s="105"/>
      <c r="X81" s="103" t="s">
        <v>34</v>
      </c>
      <c r="Y81" s="105"/>
      <c r="Z81" s="106"/>
      <c r="AA81" s="61"/>
      <c r="AB81" s="55"/>
      <c r="AC81" s="174">
        <f t="shared" ref="AC81" si="30">SUM(B82:Z82)</f>
        <v>0</v>
      </c>
      <c r="AD81" s="175"/>
      <c r="AE81" s="114">
        <f t="shared" ref="AE81" si="31">Z56</f>
        <v>1</v>
      </c>
      <c r="AF81" s="71"/>
      <c r="AG81" s="157">
        <f t="shared" ref="AG81" si="32">SUM(AC81,AE81)</f>
        <v>1</v>
      </c>
      <c r="AH81" s="158"/>
      <c r="AI81" s="159"/>
      <c r="AK81" s="119">
        <f t="shared" ref="AK81" si="33">SUM(AB82,AG81)</f>
        <v>1</v>
      </c>
      <c r="AL81" s="119"/>
      <c r="AM81" s="119"/>
      <c r="AN81" s="119"/>
    </row>
    <row r="82" spans="1:50" ht="15.75" thickBot="1" x14ac:dyDescent="0.3">
      <c r="A82" s="102"/>
      <c r="B82" s="57"/>
      <c r="C82" s="58"/>
      <c r="D82" s="58"/>
      <c r="E82" s="58"/>
      <c r="F82" s="51"/>
      <c r="G82" s="58"/>
      <c r="H82" s="58"/>
      <c r="I82" s="58"/>
      <c r="J82" s="59"/>
      <c r="K82" s="53"/>
      <c r="L82" s="57"/>
      <c r="M82" s="58"/>
      <c r="N82" s="58"/>
      <c r="O82" s="51"/>
      <c r="P82" s="58"/>
      <c r="Q82" s="58"/>
      <c r="R82" s="59"/>
      <c r="S82" s="53"/>
      <c r="T82" s="150"/>
      <c r="U82" s="151"/>
      <c r="V82" s="152"/>
      <c r="W82" s="153"/>
      <c r="X82" s="150"/>
      <c r="Y82" s="154"/>
      <c r="Z82" s="155"/>
      <c r="AA82" s="61"/>
      <c r="AB82" s="55">
        <v>0</v>
      </c>
      <c r="AC82" s="116"/>
      <c r="AD82" s="117"/>
      <c r="AE82" s="116"/>
      <c r="AF82" s="73"/>
      <c r="AG82" s="72"/>
      <c r="AH82" s="121"/>
      <c r="AI82" s="73"/>
      <c r="AK82" s="119"/>
      <c r="AL82" s="119"/>
      <c r="AM82" s="119"/>
      <c r="AN82" s="119"/>
    </row>
    <row r="83" spans="1:50" x14ac:dyDescent="0.25">
      <c r="A83" s="169" t="s">
        <v>72</v>
      </c>
      <c r="B83" s="57" t="s">
        <v>21</v>
      </c>
      <c r="C83" s="58" t="s">
        <v>14</v>
      </c>
      <c r="D83" s="58" t="s">
        <v>18</v>
      </c>
      <c r="E83" s="58" t="s">
        <v>11</v>
      </c>
      <c r="F83" s="51"/>
      <c r="G83" s="58" t="s">
        <v>10</v>
      </c>
      <c r="H83" s="58" t="s">
        <v>24</v>
      </c>
      <c r="I83" s="58" t="s">
        <v>19</v>
      </c>
      <c r="J83" s="59" t="s">
        <v>34</v>
      </c>
      <c r="K83" s="53"/>
      <c r="L83" s="57" t="s">
        <v>13</v>
      </c>
      <c r="M83" s="58" t="s">
        <v>28</v>
      </c>
      <c r="N83" s="58" t="s">
        <v>17</v>
      </c>
      <c r="O83" s="51"/>
      <c r="P83" s="58" t="s">
        <v>13</v>
      </c>
      <c r="Q83" s="58" t="s">
        <v>36</v>
      </c>
      <c r="R83" s="59" t="s">
        <v>12</v>
      </c>
      <c r="S83" s="53"/>
      <c r="T83" s="170" t="s">
        <v>21</v>
      </c>
      <c r="U83" s="171"/>
      <c r="V83" s="164" t="s">
        <v>10</v>
      </c>
      <c r="W83" s="165"/>
      <c r="X83" s="170" t="s">
        <v>21</v>
      </c>
      <c r="Y83" s="173"/>
      <c r="Z83" s="165"/>
      <c r="AA83" s="61"/>
      <c r="AB83" s="55"/>
      <c r="AC83" s="114">
        <f t="shared" ref="AC83" si="34">SUM(B84:Z84)</f>
        <v>0</v>
      </c>
      <c r="AD83" s="115"/>
      <c r="AE83" s="114">
        <f t="shared" ref="AE83" si="35">Z58</f>
        <v>1</v>
      </c>
      <c r="AF83" s="71"/>
      <c r="AG83" s="157">
        <f t="shared" ref="AG83" si="36">SUM(AC83,AE83)</f>
        <v>1</v>
      </c>
      <c r="AH83" s="158"/>
      <c r="AI83" s="159"/>
      <c r="AK83" s="119">
        <f t="shared" ref="AK83" si="37">SUM(AB84,AG83)</f>
        <v>1</v>
      </c>
      <c r="AL83" s="119"/>
      <c r="AM83" s="119"/>
      <c r="AN83" s="119"/>
      <c r="AP83" s="166"/>
      <c r="AQ83" s="166"/>
      <c r="AR83" s="166"/>
      <c r="AS83" s="166"/>
      <c r="AT83" s="166"/>
      <c r="AU83" s="166"/>
      <c r="AV83" s="166"/>
      <c r="AW83" s="166"/>
      <c r="AX83" s="166"/>
    </row>
    <row r="84" spans="1:50" ht="15.75" thickBot="1" x14ac:dyDescent="0.3">
      <c r="A84" s="102"/>
      <c r="B84" s="57"/>
      <c r="C84" s="58"/>
      <c r="D84" s="58"/>
      <c r="E84" s="58"/>
      <c r="F84" s="51"/>
      <c r="G84" s="58"/>
      <c r="H84" s="58"/>
      <c r="I84" s="58"/>
      <c r="J84" s="59"/>
      <c r="K84" s="53"/>
      <c r="L84" s="57"/>
      <c r="M84" s="58"/>
      <c r="N84" s="58"/>
      <c r="O84" s="51"/>
      <c r="P84" s="58"/>
      <c r="Q84" s="58"/>
      <c r="R84" s="59"/>
      <c r="S84" s="53"/>
      <c r="T84" s="150"/>
      <c r="U84" s="151"/>
      <c r="V84" s="152"/>
      <c r="W84" s="153"/>
      <c r="X84" s="167"/>
      <c r="Y84" s="168"/>
      <c r="Z84" s="153"/>
      <c r="AA84" s="61"/>
      <c r="AB84" s="55">
        <v>0</v>
      </c>
      <c r="AC84" s="116"/>
      <c r="AD84" s="117"/>
      <c r="AE84" s="116"/>
      <c r="AF84" s="73"/>
      <c r="AG84" s="72"/>
      <c r="AH84" s="121"/>
      <c r="AI84" s="73"/>
      <c r="AK84" s="119"/>
      <c r="AL84" s="119"/>
      <c r="AM84" s="119"/>
      <c r="AN84" s="119"/>
      <c r="AP84" s="166"/>
      <c r="AQ84" s="166"/>
      <c r="AR84" s="166"/>
      <c r="AS84" s="166"/>
      <c r="AT84" s="166"/>
      <c r="AU84" s="166"/>
      <c r="AV84" s="166"/>
      <c r="AW84" s="166"/>
      <c r="AX84" s="166"/>
    </row>
    <row r="85" spans="1:50" x14ac:dyDescent="0.25">
      <c r="A85" s="169" t="s">
        <v>73</v>
      </c>
      <c r="B85" s="57" t="s">
        <v>21</v>
      </c>
      <c r="C85" s="58" t="s">
        <v>66</v>
      </c>
      <c r="D85" s="58" t="s">
        <v>23</v>
      </c>
      <c r="E85" s="58" t="s">
        <v>11</v>
      </c>
      <c r="F85" s="51"/>
      <c r="G85" s="58" t="s">
        <v>10</v>
      </c>
      <c r="H85" s="58" t="s">
        <v>24</v>
      </c>
      <c r="I85" s="58" t="s">
        <v>19</v>
      </c>
      <c r="J85" s="59" t="s">
        <v>26</v>
      </c>
      <c r="K85" s="53"/>
      <c r="L85" s="57" t="s">
        <v>17</v>
      </c>
      <c r="M85" s="58" t="s">
        <v>28</v>
      </c>
      <c r="N85" s="58" t="s">
        <v>14</v>
      </c>
      <c r="O85" s="51"/>
      <c r="P85" s="58" t="s">
        <v>12</v>
      </c>
      <c r="Q85" s="58" t="s">
        <v>32</v>
      </c>
      <c r="R85" s="59" t="s">
        <v>34</v>
      </c>
      <c r="S85" s="53"/>
      <c r="T85" s="170" t="s">
        <v>21</v>
      </c>
      <c r="U85" s="171"/>
      <c r="V85" s="164" t="s">
        <v>24</v>
      </c>
      <c r="W85" s="165"/>
      <c r="X85" s="170" t="s">
        <v>21</v>
      </c>
      <c r="Y85" s="173"/>
      <c r="Z85" s="165"/>
      <c r="AA85" s="61"/>
      <c r="AB85" s="55"/>
      <c r="AC85" s="174">
        <f t="shared" ref="AC85" si="38">SUM(B86:Z86)</f>
        <v>0</v>
      </c>
      <c r="AD85" s="175"/>
      <c r="AE85" s="114">
        <f t="shared" ref="AE85" si="39">Z60</f>
        <v>1</v>
      </c>
      <c r="AF85" s="71"/>
      <c r="AG85" s="157">
        <f t="shared" ref="AG85" si="40">SUM(AC85,AE85)</f>
        <v>1</v>
      </c>
      <c r="AH85" s="158"/>
      <c r="AI85" s="159"/>
      <c r="AK85" s="119">
        <f t="shared" ref="AK85" si="41">SUM(AB86,AG85)</f>
        <v>1</v>
      </c>
      <c r="AL85" s="119"/>
      <c r="AM85" s="119"/>
      <c r="AN85" s="119"/>
      <c r="AP85" s="166"/>
      <c r="AQ85" s="166"/>
      <c r="AR85" s="166"/>
      <c r="AS85" s="166"/>
      <c r="AT85" s="166"/>
      <c r="AU85" s="166"/>
      <c r="AV85" s="166"/>
      <c r="AW85" s="166"/>
      <c r="AX85" s="166"/>
    </row>
    <row r="86" spans="1:50" ht="15.75" thickBot="1" x14ac:dyDescent="0.3">
      <c r="A86" s="102"/>
      <c r="B86" s="57"/>
      <c r="C86" s="58"/>
      <c r="D86" s="58"/>
      <c r="E86" s="58"/>
      <c r="F86" s="51"/>
      <c r="G86" s="58"/>
      <c r="H86" s="58"/>
      <c r="I86" s="58"/>
      <c r="J86" s="59"/>
      <c r="K86" s="53"/>
      <c r="L86" s="57"/>
      <c r="M86" s="58"/>
      <c r="N86" s="58"/>
      <c r="O86" s="51"/>
      <c r="P86" s="58"/>
      <c r="Q86" s="58"/>
      <c r="R86" s="59"/>
      <c r="S86" s="53"/>
      <c r="T86" s="150"/>
      <c r="U86" s="151"/>
      <c r="V86" s="152"/>
      <c r="W86" s="153"/>
      <c r="X86" s="150"/>
      <c r="Y86" s="154"/>
      <c r="Z86" s="155"/>
      <c r="AA86" s="61"/>
      <c r="AB86" s="55">
        <v>0</v>
      </c>
      <c r="AC86" s="116"/>
      <c r="AD86" s="117"/>
      <c r="AE86" s="116"/>
      <c r="AF86" s="73"/>
      <c r="AG86" s="72"/>
      <c r="AH86" s="121"/>
      <c r="AI86" s="73"/>
      <c r="AK86" s="119"/>
      <c r="AL86" s="119"/>
      <c r="AM86" s="119"/>
      <c r="AN86" s="119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 spans="1:50" x14ac:dyDescent="0.25">
      <c r="A87" s="169" t="s">
        <v>78</v>
      </c>
      <c r="B87" s="57" t="s">
        <v>21</v>
      </c>
      <c r="C87" s="58" t="s">
        <v>14</v>
      </c>
      <c r="D87" s="58" t="s">
        <v>18</v>
      </c>
      <c r="E87" s="58" t="s">
        <v>11</v>
      </c>
      <c r="F87" s="51"/>
      <c r="G87" s="58" t="s">
        <v>10</v>
      </c>
      <c r="H87" s="58" t="s">
        <v>24</v>
      </c>
      <c r="I87" s="58" t="s">
        <v>19</v>
      </c>
      <c r="J87" s="59" t="s">
        <v>34</v>
      </c>
      <c r="K87" s="53"/>
      <c r="L87" s="57" t="s">
        <v>17</v>
      </c>
      <c r="M87" s="58" t="s">
        <v>15</v>
      </c>
      <c r="N87" s="58" t="s">
        <v>28</v>
      </c>
      <c r="O87" s="51"/>
      <c r="P87" s="58" t="s">
        <v>32</v>
      </c>
      <c r="Q87" s="58" t="s">
        <v>36</v>
      </c>
      <c r="R87" s="59" t="s">
        <v>13</v>
      </c>
      <c r="S87" s="53"/>
      <c r="T87" s="170" t="s">
        <v>14</v>
      </c>
      <c r="U87" s="171"/>
      <c r="V87" s="164" t="s">
        <v>10</v>
      </c>
      <c r="W87" s="165"/>
      <c r="X87" s="170" t="s">
        <v>14</v>
      </c>
      <c r="Y87" s="173"/>
      <c r="Z87" s="165"/>
      <c r="AA87" s="61"/>
      <c r="AB87" s="55"/>
      <c r="AC87" s="114">
        <f t="shared" ref="AC87" si="42">SUM(B88:Z88)</f>
        <v>0</v>
      </c>
      <c r="AD87" s="115"/>
      <c r="AE87" s="114">
        <f t="shared" ref="AE87" si="43">Z62</f>
        <v>1</v>
      </c>
      <c r="AF87" s="71"/>
      <c r="AG87" s="157">
        <f t="shared" ref="AG87" si="44">SUM(AC87,AE87)</f>
        <v>1</v>
      </c>
      <c r="AH87" s="158"/>
      <c r="AI87" s="159"/>
      <c r="AK87" s="119">
        <f t="shared" ref="AK87" si="45">SUM(AB88,AG87)</f>
        <v>1</v>
      </c>
      <c r="AL87" s="119"/>
      <c r="AM87" s="119"/>
      <c r="AN87" s="119"/>
      <c r="AP87" s="166"/>
      <c r="AQ87" s="166"/>
      <c r="AR87" s="166"/>
      <c r="AS87" s="166"/>
      <c r="AT87" s="166"/>
      <c r="AU87" s="166"/>
      <c r="AV87" s="166"/>
      <c r="AW87" s="166"/>
      <c r="AX87" s="166"/>
    </row>
    <row r="88" spans="1:50" ht="15.75" thickBot="1" x14ac:dyDescent="0.3">
      <c r="A88" s="102"/>
      <c r="B88" s="57"/>
      <c r="C88" s="58"/>
      <c r="D88" s="58"/>
      <c r="E88" s="58"/>
      <c r="F88" s="51"/>
      <c r="G88" s="58"/>
      <c r="H88" s="58"/>
      <c r="I88" s="58"/>
      <c r="J88" s="59"/>
      <c r="K88" s="53"/>
      <c r="L88" s="57"/>
      <c r="M88" s="58"/>
      <c r="N88" s="58"/>
      <c r="O88" s="51"/>
      <c r="P88" s="58"/>
      <c r="Q88" s="58"/>
      <c r="R88" s="59"/>
      <c r="S88" s="53"/>
      <c r="T88" s="150"/>
      <c r="U88" s="151"/>
      <c r="V88" s="152"/>
      <c r="W88" s="153"/>
      <c r="X88" s="150"/>
      <c r="Y88" s="154"/>
      <c r="Z88" s="155"/>
      <c r="AA88" s="61"/>
      <c r="AB88" s="55">
        <v>0</v>
      </c>
      <c r="AC88" s="116"/>
      <c r="AD88" s="117"/>
      <c r="AE88" s="116"/>
      <c r="AF88" s="73"/>
      <c r="AG88" s="72"/>
      <c r="AH88" s="121"/>
      <c r="AI88" s="73"/>
      <c r="AK88" s="119"/>
      <c r="AL88" s="119"/>
      <c r="AM88" s="119"/>
      <c r="AN88" s="119"/>
      <c r="AP88" s="166"/>
      <c r="AQ88" s="166"/>
      <c r="AR88" s="166"/>
      <c r="AS88" s="166"/>
      <c r="AT88" s="166"/>
      <c r="AU88" s="166"/>
      <c r="AV88" s="166"/>
      <c r="AW88" s="166"/>
      <c r="AX88" s="166"/>
    </row>
    <row r="89" spans="1:50" x14ac:dyDescent="0.25">
      <c r="A89" s="176" t="s">
        <v>75</v>
      </c>
      <c r="B89" s="57" t="s">
        <v>21</v>
      </c>
      <c r="C89" s="58" t="s">
        <v>14</v>
      </c>
      <c r="D89" s="58" t="s">
        <v>18</v>
      </c>
      <c r="E89" s="58" t="s">
        <v>15</v>
      </c>
      <c r="F89" s="51"/>
      <c r="G89" s="58" t="s">
        <v>10</v>
      </c>
      <c r="H89" s="58" t="s">
        <v>36</v>
      </c>
      <c r="I89" s="58" t="s">
        <v>19</v>
      </c>
      <c r="J89" s="59" t="s">
        <v>13</v>
      </c>
      <c r="K89" s="53"/>
      <c r="L89" s="57" t="s">
        <v>66</v>
      </c>
      <c r="M89" s="58" t="s">
        <v>17</v>
      </c>
      <c r="N89" s="58" t="s">
        <v>11</v>
      </c>
      <c r="O89" s="51"/>
      <c r="P89" s="58" t="s">
        <v>32</v>
      </c>
      <c r="Q89" s="58" t="s">
        <v>24</v>
      </c>
      <c r="R89" s="59" t="s">
        <v>34</v>
      </c>
      <c r="S89" s="53"/>
      <c r="T89" s="170" t="s">
        <v>21</v>
      </c>
      <c r="U89" s="171"/>
      <c r="V89" s="164" t="s">
        <v>13</v>
      </c>
      <c r="W89" s="165"/>
      <c r="X89" s="170" t="s">
        <v>21</v>
      </c>
      <c r="Y89" s="173"/>
      <c r="Z89" s="165"/>
      <c r="AA89" s="61"/>
      <c r="AB89" s="55"/>
      <c r="AC89" s="174">
        <f t="shared" ref="AC89" si="46">SUM(B90:Z90)</f>
        <v>0</v>
      </c>
      <c r="AD89" s="175"/>
      <c r="AE89" s="114">
        <f t="shared" ref="AE89" si="47">Z64</f>
        <v>1</v>
      </c>
      <c r="AF89" s="71"/>
      <c r="AG89" s="157">
        <f>SUM(AC89,AE89)</f>
        <v>1</v>
      </c>
      <c r="AH89" s="158"/>
      <c r="AI89" s="159"/>
      <c r="AK89" s="119">
        <f>SUM(AB90,AG89)</f>
        <v>1</v>
      </c>
      <c r="AL89" s="119"/>
      <c r="AM89" s="119"/>
      <c r="AN89" s="119"/>
    </row>
    <row r="90" spans="1:50" ht="15.75" thickBot="1" x14ac:dyDescent="0.3">
      <c r="A90" s="161"/>
      <c r="B90" s="57"/>
      <c r="C90" s="58"/>
      <c r="D90" s="58"/>
      <c r="E90" s="58"/>
      <c r="F90" s="51"/>
      <c r="G90" s="58"/>
      <c r="H90" s="58"/>
      <c r="I90" s="58"/>
      <c r="J90" s="59"/>
      <c r="K90" s="53"/>
      <c r="L90" s="57"/>
      <c r="M90" s="58"/>
      <c r="N90" s="58"/>
      <c r="O90" s="51"/>
      <c r="P90" s="58"/>
      <c r="Q90" s="58"/>
      <c r="R90" s="59"/>
      <c r="S90" s="53"/>
      <c r="T90" s="150"/>
      <c r="U90" s="151"/>
      <c r="V90" s="152"/>
      <c r="W90" s="153"/>
      <c r="X90" s="150"/>
      <c r="Y90" s="154"/>
      <c r="Z90" s="155"/>
      <c r="AA90" s="61"/>
      <c r="AB90" s="55">
        <v>0</v>
      </c>
      <c r="AC90" s="116"/>
      <c r="AD90" s="117"/>
      <c r="AE90" s="116"/>
      <c r="AF90" s="73"/>
      <c r="AG90" s="72"/>
      <c r="AH90" s="121"/>
      <c r="AI90" s="73"/>
      <c r="AK90" s="119"/>
      <c r="AL90" s="119"/>
      <c r="AM90" s="119"/>
      <c r="AN90" s="119"/>
    </row>
    <row r="91" spans="1:50" x14ac:dyDescent="0.25">
      <c r="A91" s="176" t="s">
        <v>76</v>
      </c>
      <c r="B91" s="57" t="s">
        <v>21</v>
      </c>
      <c r="C91" s="58" t="s">
        <v>14</v>
      </c>
      <c r="D91" s="58" t="s">
        <v>18</v>
      </c>
      <c r="E91" s="58" t="s">
        <v>11</v>
      </c>
      <c r="F91" s="51"/>
      <c r="G91" s="58" t="s">
        <v>10</v>
      </c>
      <c r="H91" s="58" t="s">
        <v>24</v>
      </c>
      <c r="I91" s="58" t="s">
        <v>19</v>
      </c>
      <c r="J91" s="59" t="s">
        <v>34</v>
      </c>
      <c r="K91" s="53"/>
      <c r="L91" s="57" t="s">
        <v>66</v>
      </c>
      <c r="M91" s="58" t="s">
        <v>23</v>
      </c>
      <c r="N91" s="58" t="s">
        <v>15</v>
      </c>
      <c r="O91" s="51"/>
      <c r="P91" s="58" t="s">
        <v>44</v>
      </c>
      <c r="Q91" s="58" t="s">
        <v>13</v>
      </c>
      <c r="R91" s="59" t="s">
        <v>36</v>
      </c>
      <c r="S91" s="53"/>
      <c r="T91" s="170" t="s">
        <v>34</v>
      </c>
      <c r="U91" s="171"/>
      <c r="V91" s="164" t="s">
        <v>11</v>
      </c>
      <c r="W91" s="165"/>
      <c r="X91" s="170" t="s">
        <v>34</v>
      </c>
      <c r="Y91" s="173"/>
      <c r="Z91" s="165"/>
      <c r="AA91" s="61"/>
      <c r="AB91" s="55"/>
      <c r="AC91" s="114">
        <f t="shared" ref="AC91" si="48">SUM(B92:Z92)</f>
        <v>0</v>
      </c>
      <c r="AD91" s="115"/>
      <c r="AE91" s="114">
        <f t="shared" ref="AE91" si="49">Z66</f>
        <v>1</v>
      </c>
      <c r="AF91" s="71"/>
      <c r="AG91" s="157">
        <f>SUM(AC91,AE91)</f>
        <v>1</v>
      </c>
      <c r="AH91" s="158"/>
      <c r="AI91" s="159"/>
      <c r="AK91" s="119">
        <f>SUM(AB92,AG91)</f>
        <v>1</v>
      </c>
      <c r="AL91" s="119"/>
      <c r="AM91" s="119"/>
      <c r="AN91" s="119"/>
      <c r="AP91" s="166"/>
      <c r="AQ91" s="166"/>
      <c r="AR91" s="166"/>
      <c r="AS91" s="166"/>
      <c r="AT91" s="166"/>
      <c r="AU91" s="166"/>
      <c r="AV91" s="166"/>
      <c r="AW91" s="166"/>
      <c r="AX91" s="166"/>
    </row>
    <row r="92" spans="1:50" ht="15.75" thickBot="1" x14ac:dyDescent="0.3">
      <c r="A92" s="161"/>
      <c r="B92" s="57"/>
      <c r="C92" s="58"/>
      <c r="D92" s="58"/>
      <c r="E92" s="58"/>
      <c r="F92" s="51"/>
      <c r="G92" s="58"/>
      <c r="H92" s="58"/>
      <c r="I92" s="58"/>
      <c r="J92" s="59"/>
      <c r="K92" s="53"/>
      <c r="L92" s="57"/>
      <c r="M92" s="58"/>
      <c r="N92" s="58"/>
      <c r="O92" s="51"/>
      <c r="P92" s="58"/>
      <c r="Q92" s="58"/>
      <c r="R92" s="59"/>
      <c r="S92" s="53"/>
      <c r="T92" s="150"/>
      <c r="U92" s="151"/>
      <c r="V92" s="152"/>
      <c r="W92" s="153"/>
      <c r="X92" s="167"/>
      <c r="Y92" s="168"/>
      <c r="Z92" s="153"/>
      <c r="AA92" s="61"/>
      <c r="AB92" s="55">
        <v>0</v>
      </c>
      <c r="AC92" s="116"/>
      <c r="AD92" s="117"/>
      <c r="AE92" s="116"/>
      <c r="AF92" s="73"/>
      <c r="AG92" s="72"/>
      <c r="AH92" s="121"/>
      <c r="AI92" s="73"/>
      <c r="AK92" s="119"/>
      <c r="AL92" s="119"/>
      <c r="AM92" s="119"/>
      <c r="AN92" s="119"/>
      <c r="AP92" s="166"/>
      <c r="AQ92" s="166"/>
      <c r="AR92" s="166"/>
      <c r="AS92" s="166"/>
      <c r="AT92" s="166"/>
      <c r="AU92" s="166"/>
      <c r="AV92" s="166"/>
      <c r="AW92" s="166"/>
      <c r="AX92" s="166"/>
    </row>
    <row r="93" spans="1:50" x14ac:dyDescent="0.25">
      <c r="A93" s="176" t="s">
        <v>77</v>
      </c>
      <c r="B93" s="57" t="s">
        <v>21</v>
      </c>
      <c r="C93" s="58" t="s">
        <v>14</v>
      </c>
      <c r="D93" s="58" t="s">
        <v>18</v>
      </c>
      <c r="E93" s="58" t="s">
        <v>11</v>
      </c>
      <c r="F93" s="51"/>
      <c r="G93" s="58" t="s">
        <v>10</v>
      </c>
      <c r="H93" s="58" t="s">
        <v>36</v>
      </c>
      <c r="I93" s="58" t="s">
        <v>19</v>
      </c>
      <c r="J93" s="59" t="s">
        <v>26</v>
      </c>
      <c r="K93" s="53"/>
      <c r="L93" s="57" t="s">
        <v>66</v>
      </c>
      <c r="M93" s="58" t="s">
        <v>28</v>
      </c>
      <c r="N93" s="58" t="s">
        <v>30</v>
      </c>
      <c r="O93" s="51"/>
      <c r="P93" s="58" t="s">
        <v>32</v>
      </c>
      <c r="Q93" s="58" t="s">
        <v>24</v>
      </c>
      <c r="R93" s="59" t="s">
        <v>13</v>
      </c>
      <c r="S93" s="53"/>
      <c r="T93" s="170" t="s">
        <v>21</v>
      </c>
      <c r="U93" s="171"/>
      <c r="V93" s="164" t="s">
        <v>10</v>
      </c>
      <c r="W93" s="165"/>
      <c r="X93" s="170" t="s">
        <v>21</v>
      </c>
      <c r="Y93" s="173"/>
      <c r="Z93" s="165"/>
      <c r="AA93" s="61"/>
      <c r="AB93" s="55"/>
      <c r="AC93" s="174">
        <f t="shared" ref="AC93" si="50">SUM(B94:Z94)</f>
        <v>0</v>
      </c>
      <c r="AD93" s="175"/>
      <c r="AE93" s="114">
        <f t="shared" ref="AE93" si="51">Z68</f>
        <v>1</v>
      </c>
      <c r="AF93" s="71"/>
      <c r="AG93" s="157">
        <f>SUM(AC93,AE93)</f>
        <v>1</v>
      </c>
      <c r="AH93" s="158"/>
      <c r="AI93" s="159"/>
      <c r="AK93" s="119">
        <f>SUM(AB94,AG93)</f>
        <v>1</v>
      </c>
      <c r="AL93" s="119"/>
      <c r="AM93" s="119"/>
      <c r="AN93" s="119"/>
    </row>
    <row r="94" spans="1:50" x14ac:dyDescent="0.25">
      <c r="A94" s="161"/>
      <c r="B94" s="57"/>
      <c r="C94" s="58"/>
      <c r="D94" s="58"/>
      <c r="E94" s="58"/>
      <c r="F94" s="51"/>
      <c r="G94" s="58"/>
      <c r="H94" s="58"/>
      <c r="I94" s="58"/>
      <c r="J94" s="59"/>
      <c r="K94" s="53"/>
      <c r="L94" s="57"/>
      <c r="M94" s="58"/>
      <c r="N94" s="58"/>
      <c r="O94" s="51"/>
      <c r="P94" s="58"/>
      <c r="Q94" s="58"/>
      <c r="R94" s="59"/>
      <c r="S94" s="53"/>
      <c r="T94" s="150"/>
      <c r="U94" s="151"/>
      <c r="V94" s="152"/>
      <c r="W94" s="153"/>
      <c r="X94" s="150"/>
      <c r="Y94" s="154"/>
      <c r="Z94" s="155"/>
      <c r="AA94" s="61"/>
      <c r="AB94" s="55">
        <v>0</v>
      </c>
      <c r="AC94" s="116"/>
      <c r="AD94" s="117"/>
      <c r="AE94" s="116"/>
      <c r="AF94" s="73"/>
      <c r="AG94" s="72"/>
      <c r="AH94" s="121"/>
      <c r="AI94" s="73"/>
      <c r="AK94" s="119"/>
      <c r="AL94" s="119"/>
      <c r="AM94" s="119"/>
      <c r="AN94" s="119"/>
    </row>
    <row r="95" spans="1:50" ht="15.75" thickBot="1" x14ac:dyDescent="0.3"/>
    <row r="96" spans="1:50" ht="15" customHeight="1" thickTop="1" x14ac:dyDescent="0.25">
      <c r="A96" s="76" t="s">
        <v>0</v>
      </c>
      <c r="B96" s="1"/>
      <c r="C96" s="1"/>
      <c r="D96" s="78" t="s">
        <v>1</v>
      </c>
      <c r="E96" s="78"/>
      <c r="F96" s="3"/>
      <c r="G96" s="4"/>
      <c r="H96" s="2"/>
      <c r="I96" s="78" t="s">
        <v>2</v>
      </c>
      <c r="J96" s="78"/>
      <c r="K96" s="4"/>
      <c r="L96" s="5"/>
      <c r="M96" s="2"/>
      <c r="N96" s="78" t="s">
        <v>3</v>
      </c>
      <c r="O96" s="78"/>
      <c r="P96" s="3"/>
      <c r="Q96" s="6"/>
      <c r="R96" s="2"/>
      <c r="S96" s="2"/>
      <c r="T96" s="3" t="s">
        <v>4</v>
      </c>
      <c r="U96" s="5"/>
      <c r="V96" s="7"/>
      <c r="W96" s="3"/>
      <c r="X96" s="3" t="s">
        <v>5</v>
      </c>
      <c r="Y96" s="3"/>
      <c r="Z96" s="79" t="s">
        <v>6</v>
      </c>
      <c r="AA96" s="80"/>
    </row>
    <row r="97" spans="1:27" ht="15" customHeight="1" x14ac:dyDescent="0.25">
      <c r="A97" s="77"/>
      <c r="B97" s="8">
        <v>4</v>
      </c>
      <c r="C97" s="9">
        <v>5</v>
      </c>
      <c r="D97" s="9">
        <v>8</v>
      </c>
      <c r="E97" s="9">
        <v>14</v>
      </c>
      <c r="F97" s="9">
        <v>22</v>
      </c>
      <c r="G97" s="10">
        <v>29</v>
      </c>
      <c r="H97" s="8">
        <v>5</v>
      </c>
      <c r="I97" s="11">
        <v>12</v>
      </c>
      <c r="J97" s="9">
        <v>20</v>
      </c>
      <c r="K97" s="10">
        <v>26</v>
      </c>
      <c r="L97" s="11">
        <v>2</v>
      </c>
      <c r="M97" s="9">
        <v>9</v>
      </c>
      <c r="N97" s="9">
        <v>13</v>
      </c>
      <c r="O97" s="9">
        <v>23</v>
      </c>
      <c r="P97" s="9">
        <v>27</v>
      </c>
      <c r="Q97" s="12">
        <v>27</v>
      </c>
      <c r="R97" s="11">
        <v>7</v>
      </c>
      <c r="S97" s="13">
        <v>11</v>
      </c>
      <c r="T97" s="13">
        <v>18</v>
      </c>
      <c r="U97" s="13">
        <v>21</v>
      </c>
      <c r="V97" s="14">
        <v>25</v>
      </c>
      <c r="W97" s="11" t="s">
        <v>7</v>
      </c>
      <c r="X97" s="9" t="s">
        <v>7</v>
      </c>
      <c r="Y97" s="13" t="s">
        <v>7</v>
      </c>
      <c r="Z97" s="81"/>
      <c r="AA97" s="82"/>
    </row>
    <row r="98" spans="1:27" ht="15.75" customHeight="1" thickBot="1" x14ac:dyDescent="0.3">
      <c r="A98" s="15" t="s">
        <v>8</v>
      </c>
      <c r="B98" s="16">
        <v>1</v>
      </c>
      <c r="C98" s="17">
        <v>2</v>
      </c>
      <c r="D98" s="17">
        <v>3</v>
      </c>
      <c r="E98" s="17">
        <v>4</v>
      </c>
      <c r="F98" s="17">
        <v>5</v>
      </c>
      <c r="G98" s="18">
        <v>6</v>
      </c>
      <c r="H98" s="19">
        <v>7</v>
      </c>
      <c r="I98" s="19">
        <v>8</v>
      </c>
      <c r="J98" s="17">
        <v>9</v>
      </c>
      <c r="K98" s="18">
        <v>10</v>
      </c>
      <c r="L98" s="19">
        <v>11</v>
      </c>
      <c r="M98" s="17">
        <v>12</v>
      </c>
      <c r="N98" s="17">
        <v>13</v>
      </c>
      <c r="O98" s="17">
        <v>14</v>
      </c>
      <c r="P98" s="17">
        <v>15</v>
      </c>
      <c r="Q98" s="18">
        <v>16</v>
      </c>
      <c r="R98" s="19">
        <v>17</v>
      </c>
      <c r="S98" s="17">
        <v>18</v>
      </c>
      <c r="T98" s="17">
        <v>19</v>
      </c>
      <c r="U98" s="19">
        <v>20</v>
      </c>
      <c r="V98" s="18">
        <v>21</v>
      </c>
      <c r="W98" s="19">
        <v>22</v>
      </c>
      <c r="X98" s="17">
        <v>23</v>
      </c>
      <c r="Y98" s="17">
        <v>24</v>
      </c>
      <c r="Z98" s="83"/>
      <c r="AA98" s="84"/>
    </row>
    <row r="99" spans="1:27" x14ac:dyDescent="0.25">
      <c r="A99" s="85" t="s">
        <v>79</v>
      </c>
      <c r="B99" s="20" t="s">
        <v>10</v>
      </c>
      <c r="C99" s="21" t="s">
        <v>28</v>
      </c>
      <c r="D99" s="21" t="s">
        <v>12</v>
      </c>
      <c r="E99" s="21" t="s">
        <v>13</v>
      </c>
      <c r="F99" s="21" t="s">
        <v>14</v>
      </c>
      <c r="G99" s="21" t="s">
        <v>15</v>
      </c>
      <c r="H99" s="21" t="s">
        <v>13</v>
      </c>
      <c r="I99" s="21" t="s">
        <v>17</v>
      </c>
      <c r="J99" s="21" t="s">
        <v>18</v>
      </c>
      <c r="K99" s="21" t="s">
        <v>19</v>
      </c>
      <c r="L99" s="21" t="s">
        <v>34</v>
      </c>
      <c r="M99" s="21" t="s">
        <v>21</v>
      </c>
      <c r="N99" s="21" t="s">
        <v>30</v>
      </c>
      <c r="O99" s="21" t="s">
        <v>31</v>
      </c>
      <c r="P99" s="21" t="s">
        <v>24</v>
      </c>
      <c r="Q99" s="21" t="s">
        <v>11</v>
      </c>
      <c r="R99" s="21" t="s">
        <v>14</v>
      </c>
      <c r="S99" s="21" t="s">
        <v>19</v>
      </c>
      <c r="T99" s="22" t="s">
        <v>26</v>
      </c>
      <c r="U99" s="21" t="s">
        <v>19</v>
      </c>
      <c r="V99" s="21" t="s">
        <v>25</v>
      </c>
      <c r="W99" s="21" t="s">
        <v>28</v>
      </c>
      <c r="X99" s="21" t="s">
        <v>23</v>
      </c>
      <c r="Y99" s="21" t="s">
        <v>34</v>
      </c>
      <c r="Z99" s="70">
        <f>SUM(B100:Y100)</f>
        <v>1</v>
      </c>
      <c r="AA99" s="71"/>
    </row>
    <row r="100" spans="1:27" ht="15.75" thickBot="1" x14ac:dyDescent="0.3">
      <c r="A100" s="69"/>
      <c r="B100" s="23">
        <f>IF(B119="Philadelphia Eagles",1,0)</f>
        <v>1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72"/>
      <c r="AA100" s="73"/>
    </row>
    <row r="101" spans="1:27" x14ac:dyDescent="0.25">
      <c r="A101" s="74" t="s">
        <v>80</v>
      </c>
      <c r="B101" s="20" t="s">
        <v>10</v>
      </c>
      <c r="C101" s="21" t="s">
        <v>28</v>
      </c>
      <c r="D101" s="21" t="s">
        <v>12</v>
      </c>
      <c r="E101" s="21" t="s">
        <v>13</v>
      </c>
      <c r="F101" s="21" t="s">
        <v>14</v>
      </c>
      <c r="G101" s="21" t="s">
        <v>66</v>
      </c>
      <c r="H101" s="21" t="s">
        <v>38</v>
      </c>
      <c r="I101" s="21" t="s">
        <v>17</v>
      </c>
      <c r="J101" s="21" t="s">
        <v>18</v>
      </c>
      <c r="K101" s="21" t="s">
        <v>41</v>
      </c>
      <c r="L101" s="21" t="s">
        <v>34</v>
      </c>
      <c r="M101" s="21" t="s">
        <v>21</v>
      </c>
      <c r="N101" s="21" t="s">
        <v>30</v>
      </c>
      <c r="O101" s="21" t="s">
        <v>31</v>
      </c>
      <c r="P101" s="21" t="s">
        <v>24</v>
      </c>
      <c r="Q101" s="21" t="s">
        <v>11</v>
      </c>
      <c r="R101" s="21" t="s">
        <v>14</v>
      </c>
      <c r="S101" s="21" t="s">
        <v>19</v>
      </c>
      <c r="T101" s="22" t="s">
        <v>13</v>
      </c>
      <c r="U101" s="21" t="s">
        <v>19</v>
      </c>
      <c r="V101" s="21" t="s">
        <v>32</v>
      </c>
      <c r="W101" s="21" t="s">
        <v>15</v>
      </c>
      <c r="X101" s="21" t="s">
        <v>23</v>
      </c>
      <c r="Y101" s="21" t="s">
        <v>34</v>
      </c>
      <c r="Z101" s="70">
        <f>SUM(B102:Y102)</f>
        <v>1</v>
      </c>
      <c r="AA101" s="71"/>
    </row>
    <row r="102" spans="1:27" ht="15.75" thickBot="1" x14ac:dyDescent="0.3">
      <c r="A102" s="75"/>
      <c r="B102" s="23">
        <f>IF(B119="Philadelphia Eagles",1,0)</f>
        <v>1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5"/>
      <c r="Z102" s="72"/>
      <c r="AA102" s="73"/>
    </row>
    <row r="103" spans="1:27" x14ac:dyDescent="0.25">
      <c r="A103" s="68" t="s">
        <v>81</v>
      </c>
      <c r="B103" s="26" t="s">
        <v>10</v>
      </c>
      <c r="C103" s="21" t="s">
        <v>28</v>
      </c>
      <c r="D103" s="21" t="s">
        <v>12</v>
      </c>
      <c r="E103" s="21" t="s">
        <v>13</v>
      </c>
      <c r="F103" s="21" t="s">
        <v>24</v>
      </c>
      <c r="G103" s="21" t="s">
        <v>15</v>
      </c>
      <c r="H103" s="21" t="s">
        <v>38</v>
      </c>
      <c r="I103" s="21" t="s">
        <v>17</v>
      </c>
      <c r="J103" s="21" t="s">
        <v>26</v>
      </c>
      <c r="K103" s="21" t="s">
        <v>41</v>
      </c>
      <c r="L103" s="21" t="s">
        <v>34</v>
      </c>
      <c r="M103" s="21" t="s">
        <v>21</v>
      </c>
      <c r="N103" s="21" t="s">
        <v>22</v>
      </c>
      <c r="O103" s="21" t="s">
        <v>31</v>
      </c>
      <c r="P103" s="21" t="s">
        <v>24</v>
      </c>
      <c r="Q103" s="21" t="s">
        <v>11</v>
      </c>
      <c r="R103" s="21" t="s">
        <v>14</v>
      </c>
      <c r="S103" s="21" t="s">
        <v>19</v>
      </c>
      <c r="T103" s="22" t="s">
        <v>26</v>
      </c>
      <c r="U103" s="21" t="s">
        <v>19</v>
      </c>
      <c r="V103" s="21" t="s">
        <v>32</v>
      </c>
      <c r="W103" s="21" t="s">
        <v>28</v>
      </c>
      <c r="X103" s="21" t="s">
        <v>23</v>
      </c>
      <c r="Y103" s="21" t="s">
        <v>34</v>
      </c>
      <c r="Z103" s="70">
        <f>SUM(B104:Y104)</f>
        <v>1</v>
      </c>
      <c r="AA103" s="71"/>
    </row>
    <row r="104" spans="1:27" ht="15.75" thickBot="1" x14ac:dyDescent="0.3">
      <c r="A104" s="69"/>
      <c r="B104" s="23">
        <f>IF(B119="Philadelphia Eagles",1,0)</f>
        <v>1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5"/>
      <c r="Z104" s="72"/>
      <c r="AA104" s="73"/>
    </row>
    <row r="105" spans="1:27" x14ac:dyDescent="0.25">
      <c r="A105" s="74" t="s">
        <v>82</v>
      </c>
      <c r="B105" s="20" t="s">
        <v>10</v>
      </c>
      <c r="C105" s="21" t="s">
        <v>28</v>
      </c>
      <c r="D105" s="21" t="s">
        <v>29</v>
      </c>
      <c r="E105" s="21" t="s">
        <v>13</v>
      </c>
      <c r="F105" s="21" t="s">
        <v>14</v>
      </c>
      <c r="G105" s="21" t="s">
        <v>15</v>
      </c>
      <c r="H105" s="21" t="s">
        <v>16</v>
      </c>
      <c r="I105" s="21" t="s">
        <v>17</v>
      </c>
      <c r="J105" s="21" t="s">
        <v>18</v>
      </c>
      <c r="K105" s="21" t="s">
        <v>19</v>
      </c>
      <c r="L105" s="21" t="s">
        <v>34</v>
      </c>
      <c r="M105" s="21" t="s">
        <v>21</v>
      </c>
      <c r="N105" s="21" t="s">
        <v>30</v>
      </c>
      <c r="O105" s="21" t="s">
        <v>23</v>
      </c>
      <c r="P105" s="21" t="s">
        <v>36</v>
      </c>
      <c r="Q105" s="21" t="s">
        <v>11</v>
      </c>
      <c r="R105" s="21" t="s">
        <v>14</v>
      </c>
      <c r="S105" s="21" t="s">
        <v>44</v>
      </c>
      <c r="T105" s="22" t="s">
        <v>26</v>
      </c>
      <c r="U105" s="21" t="s">
        <v>19</v>
      </c>
      <c r="V105" s="21" t="s">
        <v>32</v>
      </c>
      <c r="W105" s="21" t="s">
        <v>28</v>
      </c>
      <c r="X105" s="21" t="s">
        <v>23</v>
      </c>
      <c r="Y105" s="21" t="s">
        <v>34</v>
      </c>
      <c r="Z105" s="70">
        <f>SUM(B106:Y106)</f>
        <v>1</v>
      </c>
      <c r="AA105" s="71"/>
    </row>
    <row r="106" spans="1:27" ht="15.75" thickBot="1" x14ac:dyDescent="0.3">
      <c r="A106" s="75"/>
      <c r="B106" s="23">
        <f>IF(B119="Philadelphia Eagles",1,0)</f>
        <v>1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5"/>
      <c r="Z106" s="72"/>
      <c r="AA106" s="73"/>
    </row>
    <row r="107" spans="1:27" x14ac:dyDescent="0.25">
      <c r="A107" s="68" t="s">
        <v>83</v>
      </c>
      <c r="B107" s="20" t="s">
        <v>10</v>
      </c>
      <c r="C107" s="21" t="s">
        <v>11</v>
      </c>
      <c r="D107" s="21" t="s">
        <v>12</v>
      </c>
      <c r="E107" s="21" t="s">
        <v>13</v>
      </c>
      <c r="F107" s="21" t="s">
        <v>14</v>
      </c>
      <c r="G107" s="21" t="s">
        <v>15</v>
      </c>
      <c r="H107" s="21" t="s">
        <v>38</v>
      </c>
      <c r="I107" s="21" t="s">
        <v>17</v>
      </c>
      <c r="J107" s="21" t="s">
        <v>18</v>
      </c>
      <c r="K107" s="21" t="s">
        <v>19</v>
      </c>
      <c r="L107" s="21" t="s">
        <v>34</v>
      </c>
      <c r="M107" s="21" t="s">
        <v>21</v>
      </c>
      <c r="N107" s="21" t="s">
        <v>22</v>
      </c>
      <c r="O107" s="21" t="s">
        <v>23</v>
      </c>
      <c r="P107" s="21" t="s">
        <v>24</v>
      </c>
      <c r="Q107" s="21" t="s">
        <v>11</v>
      </c>
      <c r="R107" s="21" t="s">
        <v>14</v>
      </c>
      <c r="S107" s="21" t="s">
        <v>19</v>
      </c>
      <c r="T107" s="22" t="s">
        <v>13</v>
      </c>
      <c r="U107" s="21" t="s">
        <v>19</v>
      </c>
      <c r="V107" s="21" t="s">
        <v>32</v>
      </c>
      <c r="W107" s="21" t="s">
        <v>15</v>
      </c>
      <c r="X107" s="21" t="s">
        <v>23</v>
      </c>
      <c r="Y107" s="21" t="s">
        <v>34</v>
      </c>
      <c r="Z107" s="70">
        <f>SUM(B108:Y108)</f>
        <v>1</v>
      </c>
      <c r="AA107" s="71"/>
    </row>
    <row r="108" spans="1:27" ht="15.75" thickBot="1" x14ac:dyDescent="0.3">
      <c r="A108" s="69"/>
      <c r="B108" s="23">
        <f>IF(B119="Philadelphia Eagles",1,0)</f>
        <v>1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5"/>
      <c r="Z108" s="72"/>
      <c r="AA108" s="73"/>
    </row>
    <row r="109" spans="1:27" x14ac:dyDescent="0.25">
      <c r="A109" s="74" t="s">
        <v>84</v>
      </c>
      <c r="B109" s="20" t="s">
        <v>10</v>
      </c>
      <c r="C109" s="21" t="s">
        <v>11</v>
      </c>
      <c r="D109" s="21" t="s">
        <v>12</v>
      </c>
      <c r="E109" s="21" t="s">
        <v>13</v>
      </c>
      <c r="F109" s="21" t="s">
        <v>14</v>
      </c>
      <c r="G109" s="21" t="s">
        <v>66</v>
      </c>
      <c r="H109" s="21" t="s">
        <v>16</v>
      </c>
      <c r="I109" s="21" t="s">
        <v>17</v>
      </c>
      <c r="J109" s="21" t="s">
        <v>18</v>
      </c>
      <c r="K109" s="21" t="s">
        <v>19</v>
      </c>
      <c r="L109" s="21" t="s">
        <v>34</v>
      </c>
      <c r="M109" s="21" t="s">
        <v>21</v>
      </c>
      <c r="N109" s="21" t="s">
        <v>30</v>
      </c>
      <c r="O109" s="21" t="s">
        <v>31</v>
      </c>
      <c r="P109" s="21" t="s">
        <v>24</v>
      </c>
      <c r="Q109" s="21" t="s">
        <v>11</v>
      </c>
      <c r="R109" s="21" t="s">
        <v>14</v>
      </c>
      <c r="S109" s="21" t="s">
        <v>44</v>
      </c>
      <c r="T109" s="22" t="s">
        <v>13</v>
      </c>
      <c r="U109" s="21" t="s">
        <v>19</v>
      </c>
      <c r="V109" s="21" t="s">
        <v>32</v>
      </c>
      <c r="W109" s="21" t="s">
        <v>15</v>
      </c>
      <c r="X109" s="21" t="s">
        <v>33</v>
      </c>
      <c r="Y109" s="21" t="s">
        <v>34</v>
      </c>
      <c r="Z109" s="70">
        <f>SUM(B110:Y110)</f>
        <v>1</v>
      </c>
      <c r="AA109" s="71"/>
    </row>
    <row r="110" spans="1:27" ht="15.75" thickBot="1" x14ac:dyDescent="0.3">
      <c r="A110" s="75"/>
      <c r="B110" s="23">
        <f>IF(B119="Philadelphia Eagles",1,0)</f>
        <v>1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5"/>
      <c r="Z110" s="72"/>
      <c r="AA110" s="73"/>
    </row>
    <row r="111" spans="1:27" x14ac:dyDescent="0.25">
      <c r="A111" s="68" t="s">
        <v>85</v>
      </c>
      <c r="B111" s="20" t="s">
        <v>10</v>
      </c>
      <c r="C111" s="21" t="s">
        <v>11</v>
      </c>
      <c r="D111" s="21" t="s">
        <v>12</v>
      </c>
      <c r="E111" s="21" t="s">
        <v>13</v>
      </c>
      <c r="F111" s="21" t="s">
        <v>14</v>
      </c>
      <c r="G111" s="21" t="s">
        <v>15</v>
      </c>
      <c r="H111" s="21" t="s">
        <v>16</v>
      </c>
      <c r="I111" s="21" t="s">
        <v>17</v>
      </c>
      <c r="J111" s="21" t="s">
        <v>26</v>
      </c>
      <c r="K111" s="21" t="s">
        <v>19</v>
      </c>
      <c r="L111" s="21" t="s">
        <v>20</v>
      </c>
      <c r="M111" s="21" t="s">
        <v>43</v>
      </c>
      <c r="N111" s="21" t="s">
        <v>22</v>
      </c>
      <c r="O111" s="21" t="s">
        <v>31</v>
      </c>
      <c r="P111" s="21" t="s">
        <v>24</v>
      </c>
      <c r="Q111" s="21" t="s">
        <v>11</v>
      </c>
      <c r="R111" s="21" t="s">
        <v>14</v>
      </c>
      <c r="S111" s="21" t="s">
        <v>19</v>
      </c>
      <c r="T111" s="22" t="s">
        <v>26</v>
      </c>
      <c r="U111" s="21" t="s">
        <v>19</v>
      </c>
      <c r="V111" s="21" t="s">
        <v>32</v>
      </c>
      <c r="W111" s="21" t="s">
        <v>15</v>
      </c>
      <c r="X111" s="21" t="s">
        <v>23</v>
      </c>
      <c r="Y111" s="21" t="s">
        <v>26</v>
      </c>
      <c r="Z111" s="70">
        <f>SUM(B112:Y112)</f>
        <v>1</v>
      </c>
      <c r="AA111" s="71"/>
    </row>
    <row r="112" spans="1:27" ht="15.75" thickBot="1" x14ac:dyDescent="0.3">
      <c r="A112" s="69"/>
      <c r="B112" s="23">
        <f>IF(B119="Philadelphia Eagles",1,0)</f>
        <v>1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5"/>
      <c r="Z112" s="72"/>
      <c r="AA112" s="73"/>
    </row>
    <row r="113" spans="1:50" x14ac:dyDescent="0.25">
      <c r="A113" s="74" t="s">
        <v>86</v>
      </c>
      <c r="B113" s="20" t="s">
        <v>10</v>
      </c>
      <c r="C113" s="21" t="s">
        <v>11</v>
      </c>
      <c r="D113" s="21" t="s">
        <v>12</v>
      </c>
      <c r="E113" s="21" t="s">
        <v>13</v>
      </c>
      <c r="F113" s="21" t="s">
        <v>24</v>
      </c>
      <c r="G113" s="21" t="s">
        <v>66</v>
      </c>
      <c r="H113" s="21" t="s">
        <v>16</v>
      </c>
      <c r="I113" s="21" t="s">
        <v>17</v>
      </c>
      <c r="J113" s="21" t="s">
        <v>18</v>
      </c>
      <c r="K113" s="21" t="s">
        <v>19</v>
      </c>
      <c r="L113" s="21" t="s">
        <v>34</v>
      </c>
      <c r="M113" s="21" t="s">
        <v>21</v>
      </c>
      <c r="N113" s="21" t="s">
        <v>22</v>
      </c>
      <c r="O113" s="21" t="s">
        <v>23</v>
      </c>
      <c r="P113" s="21" t="s">
        <v>24</v>
      </c>
      <c r="Q113" s="21" t="s">
        <v>11</v>
      </c>
      <c r="R113" s="21" t="s">
        <v>17</v>
      </c>
      <c r="S113" s="21" t="s">
        <v>44</v>
      </c>
      <c r="T113" s="22" t="s">
        <v>13</v>
      </c>
      <c r="U113" s="21" t="s">
        <v>19</v>
      </c>
      <c r="V113" s="21" t="s">
        <v>32</v>
      </c>
      <c r="W113" s="21" t="s">
        <v>28</v>
      </c>
      <c r="X113" s="21" t="s">
        <v>23</v>
      </c>
      <c r="Y113" s="21" t="s">
        <v>26</v>
      </c>
      <c r="Z113" s="70">
        <f>SUM(B114:Y114)</f>
        <v>1</v>
      </c>
      <c r="AA113" s="71"/>
    </row>
    <row r="114" spans="1:50" ht="15.75" thickBot="1" x14ac:dyDescent="0.3">
      <c r="A114" s="75"/>
      <c r="B114" s="23">
        <f>IF(B119="Philadelphia Eagles",1,0)</f>
        <v>1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5"/>
      <c r="Z114" s="72"/>
      <c r="AA114" s="73"/>
    </row>
    <row r="115" spans="1:50" x14ac:dyDescent="0.25">
      <c r="A115" s="68" t="s">
        <v>87</v>
      </c>
      <c r="B115" s="20" t="s">
        <v>10</v>
      </c>
      <c r="C115" s="21" t="s">
        <v>11</v>
      </c>
      <c r="D115" s="21" t="s">
        <v>29</v>
      </c>
      <c r="E115" s="21" t="s">
        <v>13</v>
      </c>
      <c r="F115" s="21" t="s">
        <v>24</v>
      </c>
      <c r="G115" s="21" t="s">
        <v>66</v>
      </c>
      <c r="H115" s="21" t="s">
        <v>16</v>
      </c>
      <c r="I115" s="21" t="s">
        <v>17</v>
      </c>
      <c r="J115" s="21" t="s">
        <v>18</v>
      </c>
      <c r="K115" s="21" t="s">
        <v>41</v>
      </c>
      <c r="L115" s="21" t="s">
        <v>34</v>
      </c>
      <c r="M115" s="21" t="s">
        <v>21</v>
      </c>
      <c r="N115" s="21" t="s">
        <v>22</v>
      </c>
      <c r="O115" s="21" t="s">
        <v>23</v>
      </c>
      <c r="P115" s="21" t="s">
        <v>24</v>
      </c>
      <c r="Q115" s="21" t="s">
        <v>11</v>
      </c>
      <c r="R115" s="21" t="s">
        <v>14</v>
      </c>
      <c r="S115" s="21" t="s">
        <v>44</v>
      </c>
      <c r="T115" s="22" t="s">
        <v>26</v>
      </c>
      <c r="U115" s="21" t="s">
        <v>19</v>
      </c>
      <c r="V115" s="21" t="s">
        <v>25</v>
      </c>
      <c r="W115" s="21" t="s">
        <v>15</v>
      </c>
      <c r="X115" s="21" t="s">
        <v>33</v>
      </c>
      <c r="Y115" s="21" t="s">
        <v>26</v>
      </c>
      <c r="Z115" s="70">
        <f>SUM(B116:Y116)</f>
        <v>1</v>
      </c>
      <c r="AA115" s="71"/>
    </row>
    <row r="116" spans="1:50" ht="15.75" thickBot="1" x14ac:dyDescent="0.3">
      <c r="A116" s="69"/>
      <c r="B116" s="23">
        <f>IF(B119="Philadelphia Eagles",1,0)</f>
        <v>1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5"/>
      <c r="Z116" s="72"/>
      <c r="AA116" s="73"/>
    </row>
    <row r="117" spans="1:50" x14ac:dyDescent="0.25">
      <c r="A117" s="74"/>
      <c r="B117" s="20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2"/>
      <c r="U117" s="21"/>
      <c r="V117" s="21"/>
      <c r="W117" s="21"/>
      <c r="X117" s="21"/>
      <c r="Y117" s="21"/>
      <c r="Z117" s="70">
        <f>SUM(B118:Y118)</f>
        <v>1</v>
      </c>
      <c r="AA117" s="71"/>
    </row>
    <row r="118" spans="1:50" ht="15.75" thickBot="1" x14ac:dyDescent="0.3">
      <c r="A118" s="75"/>
      <c r="B118" s="23">
        <f>IF(B119="Philadelphia Eagles",1,0)</f>
        <v>1</v>
      </c>
      <c r="C118" s="24">
        <f>IF(C121="Kansas City Chiefs",1,0)</f>
        <v>0</v>
      </c>
      <c r="D118" s="24">
        <f>IF(D121="Minnesota Vikings",1,0)</f>
        <v>0</v>
      </c>
      <c r="E118" s="24">
        <f>IF(E121="Los Angeles Rams",1,0)</f>
        <v>0</v>
      </c>
      <c r="F118" s="24">
        <f>IF(F121="Philadelphia Eagles",1,0)</f>
        <v>0</v>
      </c>
      <c r="G118" s="24">
        <f>IF(G121="New York Jets",1,0)</f>
        <v>0</v>
      </c>
      <c r="H118" s="24">
        <f>IF(H121="Buffalo Bills",1,0)</f>
        <v>0</v>
      </c>
      <c r="I118" s="24">
        <f>IF(I121="CIN",1,0)</f>
        <v>0</v>
      </c>
      <c r="J118" s="24">
        <f>IF(J121="Dallas Cowboys",1,0)</f>
        <v>0</v>
      </c>
      <c r="K118" s="24">
        <f>IF(K121="MIA",1,0)</f>
        <v>0</v>
      </c>
      <c r="L118" s="24">
        <f>IF(L121="Atlanta Falcons",1,0)</f>
        <v>0</v>
      </c>
      <c r="M118" s="24">
        <f>IF(M121="Kansas City Chiefs",1,0)</f>
        <v>0</v>
      </c>
      <c r="N118" s="24">
        <f>IF(N121="San Francisco 49ers",1,0)</f>
        <v>0</v>
      </c>
      <c r="O118" s="24">
        <f>IF(O121="NYJ",1,0)</f>
        <v>0</v>
      </c>
      <c r="P118" s="24">
        <f>IF(P121="NO",1,0)</f>
        <v>0</v>
      </c>
      <c r="Q118" s="24">
        <f>IF(Q121="LAC",1,0)</f>
        <v>0</v>
      </c>
      <c r="R118" s="24">
        <f>IF(R121="Los Angeles Rams",1,0)</f>
        <v>0</v>
      </c>
      <c r="S118" s="24">
        <f>IF(S121="Pittsburgh Steelers",1,0)</f>
        <v>0</v>
      </c>
      <c r="T118" s="24">
        <f>IF(T121="New York Jets",1,0)</f>
        <v>0</v>
      </c>
      <c r="U118" s="24">
        <f>IF(U121="Kansas City Chiefs",1,0)</f>
        <v>0</v>
      </c>
      <c r="V118" s="24">
        <f>IF(V121="CIN",1,0)</f>
        <v>0</v>
      </c>
      <c r="W118" s="24">
        <f>IF(W121="LAR",1,0)</f>
        <v>0</v>
      </c>
      <c r="X118" s="24">
        <f>IF(X121="Philadelphia Eagles",1,0)</f>
        <v>0</v>
      </c>
      <c r="Y118" s="25">
        <f>IF(Y121="Houston Texans",1,0)</f>
        <v>0</v>
      </c>
      <c r="Z118" s="72"/>
      <c r="AA118" s="73"/>
    </row>
    <row r="119" spans="1:50" ht="15.75" thickBot="1" x14ac:dyDescent="0.3">
      <c r="A119" s="27" t="s">
        <v>47</v>
      </c>
      <c r="B119" s="28" t="s">
        <v>48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9"/>
      <c r="R119" s="28"/>
      <c r="S119" s="29"/>
      <c r="T119" s="28"/>
      <c r="U119" s="29"/>
      <c r="V119" s="28"/>
      <c r="W119" s="29"/>
      <c r="X119" s="28"/>
      <c r="Y119" s="29"/>
      <c r="Z119" s="30"/>
      <c r="AA119" s="31"/>
    </row>
    <row r="120" spans="1:50" ht="15.75" thickBot="1" x14ac:dyDescent="0.3">
      <c r="A120" s="32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64"/>
      <c r="AO120" s="64"/>
    </row>
    <row r="121" spans="1:50" ht="16.5" customHeight="1" thickTop="1" thickBot="1" x14ac:dyDescent="0.3">
      <c r="A121" s="86" t="s">
        <v>49</v>
      </c>
      <c r="B121" s="89" t="s">
        <v>50</v>
      </c>
      <c r="C121" s="90"/>
      <c r="D121" s="90"/>
      <c r="E121" s="90"/>
      <c r="F121" s="90"/>
      <c r="G121" s="90"/>
      <c r="H121" s="90"/>
      <c r="I121" s="90"/>
      <c r="J121" s="91"/>
      <c r="K121" s="34"/>
      <c r="L121" s="89" t="s">
        <v>51</v>
      </c>
      <c r="M121" s="90"/>
      <c r="N121" s="90"/>
      <c r="O121" s="90"/>
      <c r="P121" s="90"/>
      <c r="Q121" s="90"/>
      <c r="R121" s="91"/>
      <c r="S121" s="35"/>
      <c r="T121" s="36" t="s">
        <v>52</v>
      </c>
      <c r="U121" s="37"/>
      <c r="V121" s="37"/>
      <c r="W121" s="38"/>
      <c r="X121" s="92" t="s">
        <v>53</v>
      </c>
      <c r="Y121" s="93"/>
      <c r="Z121" s="94"/>
      <c r="AA121" s="35"/>
      <c r="AB121" s="35"/>
      <c r="AC121" s="92" t="s">
        <v>54</v>
      </c>
      <c r="AD121" s="94"/>
      <c r="AE121" s="92" t="s">
        <v>55</v>
      </c>
      <c r="AF121" s="122"/>
      <c r="AG121" s="125" t="s">
        <v>56</v>
      </c>
      <c r="AH121" s="126"/>
      <c r="AI121" s="127"/>
      <c r="AJ121" s="134" t="s">
        <v>57</v>
      </c>
      <c r="AK121" s="105"/>
      <c r="AL121" s="105"/>
      <c r="AM121" s="105"/>
      <c r="AN121" s="105"/>
      <c r="AO121" s="105"/>
    </row>
    <row r="122" spans="1:50" ht="15" customHeight="1" x14ac:dyDescent="0.25">
      <c r="A122" s="87"/>
      <c r="B122" s="135" t="s">
        <v>58</v>
      </c>
      <c r="C122" s="136"/>
      <c r="D122" s="136"/>
      <c r="E122" s="136"/>
      <c r="F122" s="39"/>
      <c r="G122" s="137" t="s">
        <v>59</v>
      </c>
      <c r="H122" s="136"/>
      <c r="I122" s="136"/>
      <c r="J122" s="138"/>
      <c r="K122" s="40"/>
      <c r="L122" s="139" t="s">
        <v>58</v>
      </c>
      <c r="M122" s="140"/>
      <c r="N122" s="140"/>
      <c r="O122" s="39"/>
      <c r="P122" s="143" t="s">
        <v>59</v>
      </c>
      <c r="Q122" s="140"/>
      <c r="R122" s="144"/>
      <c r="S122" s="34"/>
      <c r="T122" s="139" t="s">
        <v>58</v>
      </c>
      <c r="U122" s="147"/>
      <c r="V122" s="143" t="s">
        <v>59</v>
      </c>
      <c r="W122" s="144"/>
      <c r="X122" s="95"/>
      <c r="Y122" s="96"/>
      <c r="Z122" s="97"/>
      <c r="AA122" s="35"/>
      <c r="AB122" s="35"/>
      <c r="AC122" s="95"/>
      <c r="AD122" s="97"/>
      <c r="AE122" s="95"/>
      <c r="AF122" s="123"/>
      <c r="AG122" s="128"/>
      <c r="AH122" s="129"/>
      <c r="AI122" s="130"/>
      <c r="AJ122" s="134"/>
      <c r="AK122" s="105"/>
      <c r="AL122" s="105"/>
      <c r="AM122" s="105"/>
      <c r="AN122" s="105"/>
      <c r="AO122" s="105"/>
      <c r="AP122" s="107" t="s">
        <v>60</v>
      </c>
      <c r="AQ122" s="107"/>
      <c r="AR122" s="107"/>
      <c r="AS122" s="107"/>
      <c r="AT122" s="107"/>
      <c r="AU122" s="107"/>
      <c r="AV122" s="107"/>
      <c r="AW122" s="107"/>
      <c r="AX122" s="107"/>
    </row>
    <row r="123" spans="1:50" ht="15.75" customHeight="1" thickBot="1" x14ac:dyDescent="0.3">
      <c r="A123" s="88"/>
      <c r="B123" s="42" t="s">
        <v>61</v>
      </c>
      <c r="C123" s="43" t="s">
        <v>62</v>
      </c>
      <c r="D123" s="44" t="s">
        <v>63</v>
      </c>
      <c r="E123" s="44" t="s">
        <v>64</v>
      </c>
      <c r="F123" s="45"/>
      <c r="G123" s="44" t="s">
        <v>61</v>
      </c>
      <c r="H123" s="44" t="s">
        <v>62</v>
      </c>
      <c r="I123" s="44" t="s">
        <v>63</v>
      </c>
      <c r="J123" s="44" t="s">
        <v>64</v>
      </c>
      <c r="K123" s="40"/>
      <c r="L123" s="141"/>
      <c r="M123" s="142"/>
      <c r="N123" s="142"/>
      <c r="O123" s="46"/>
      <c r="P123" s="145"/>
      <c r="Q123" s="142"/>
      <c r="R123" s="146"/>
      <c r="S123" s="40"/>
      <c r="T123" s="141"/>
      <c r="U123" s="148"/>
      <c r="V123" s="145"/>
      <c r="W123" s="146"/>
      <c r="X123" s="98"/>
      <c r="Y123" s="99"/>
      <c r="Z123" s="100"/>
      <c r="AA123" s="47"/>
      <c r="AB123" s="48" t="s">
        <v>89</v>
      </c>
      <c r="AC123" s="98"/>
      <c r="AD123" s="100"/>
      <c r="AE123" s="98"/>
      <c r="AF123" s="124"/>
      <c r="AG123" s="131"/>
      <c r="AH123" s="132"/>
      <c r="AI123" s="133"/>
      <c r="AJ123" s="134"/>
      <c r="AK123" s="105"/>
      <c r="AL123" s="105"/>
      <c r="AM123" s="105"/>
      <c r="AN123" s="105"/>
      <c r="AO123" s="105"/>
    </row>
    <row r="124" spans="1:50" x14ac:dyDescent="0.25">
      <c r="A124" s="101" t="s">
        <v>79</v>
      </c>
      <c r="B124" s="57" t="s">
        <v>21</v>
      </c>
      <c r="C124" s="58" t="s">
        <v>14</v>
      </c>
      <c r="D124" s="58" t="s">
        <v>18</v>
      </c>
      <c r="E124" s="58" t="s">
        <v>11</v>
      </c>
      <c r="F124" s="51"/>
      <c r="G124" s="58" t="s">
        <v>10</v>
      </c>
      <c r="H124" s="58" t="s">
        <v>24</v>
      </c>
      <c r="I124" s="58" t="s">
        <v>19</v>
      </c>
      <c r="J124" s="59" t="s">
        <v>34</v>
      </c>
      <c r="K124" s="35"/>
      <c r="L124" s="57" t="s">
        <v>66</v>
      </c>
      <c r="M124" s="58" t="s">
        <v>28</v>
      </c>
      <c r="N124" s="58" t="s">
        <v>43</v>
      </c>
      <c r="O124" s="51"/>
      <c r="P124" s="58" t="s">
        <v>36</v>
      </c>
      <c r="Q124" s="58" t="s">
        <v>13</v>
      </c>
      <c r="R124" s="59" t="s">
        <v>25</v>
      </c>
      <c r="T124" s="103" t="s">
        <v>34</v>
      </c>
      <c r="U124" s="104"/>
      <c r="V124" s="105" t="s">
        <v>14</v>
      </c>
      <c r="W124" s="105"/>
      <c r="X124" s="170" t="s">
        <v>34</v>
      </c>
      <c r="Y124" s="173"/>
      <c r="Z124" s="165"/>
      <c r="AA124" s="61"/>
      <c r="AB124" s="62"/>
      <c r="AC124" s="114">
        <f>SUM(B125:Z125)</f>
        <v>0</v>
      </c>
      <c r="AD124" s="115"/>
      <c r="AE124" s="114">
        <f>Z99</f>
        <v>1</v>
      </c>
      <c r="AF124" s="71"/>
      <c r="AG124" s="157">
        <f>SUM(AC124,AE124)</f>
        <v>1</v>
      </c>
      <c r="AH124" s="158"/>
      <c r="AI124" s="159"/>
      <c r="AK124" s="119">
        <f>SUM(AB125,AG124)</f>
        <v>1</v>
      </c>
      <c r="AL124" s="119"/>
      <c r="AM124" s="119"/>
      <c r="AN124" s="119"/>
    </row>
    <row r="125" spans="1:50" ht="15.75" thickBot="1" x14ac:dyDescent="0.3">
      <c r="A125" s="102"/>
      <c r="B125" s="57"/>
      <c r="C125" s="58"/>
      <c r="D125" s="58"/>
      <c r="E125" s="58"/>
      <c r="F125" s="51"/>
      <c r="G125" s="58"/>
      <c r="H125" s="58"/>
      <c r="I125" s="58"/>
      <c r="J125" s="59"/>
      <c r="K125" s="35"/>
      <c r="L125" s="57"/>
      <c r="M125" s="58"/>
      <c r="N125" s="58"/>
      <c r="O125" s="51"/>
      <c r="P125" s="58"/>
      <c r="Q125" s="58"/>
      <c r="R125" s="59"/>
      <c r="S125" s="35"/>
      <c r="T125" s="150"/>
      <c r="U125" s="151"/>
      <c r="V125" s="152"/>
      <c r="W125" s="153"/>
      <c r="X125" s="167"/>
      <c r="Y125" s="168"/>
      <c r="Z125" s="153"/>
      <c r="AB125" s="35"/>
      <c r="AC125" s="116"/>
      <c r="AD125" s="117"/>
      <c r="AE125" s="116"/>
      <c r="AF125" s="73"/>
      <c r="AG125" s="72"/>
      <c r="AH125" s="121"/>
      <c r="AI125" s="73"/>
      <c r="AK125" s="119"/>
      <c r="AL125" s="119"/>
      <c r="AM125" s="119"/>
      <c r="AN125" s="119"/>
    </row>
    <row r="126" spans="1:50" x14ac:dyDescent="0.25">
      <c r="A126" s="87" t="s">
        <v>80</v>
      </c>
      <c r="B126" s="57" t="s">
        <v>21</v>
      </c>
      <c r="C126" s="58" t="s">
        <v>66</v>
      </c>
      <c r="D126" s="58" t="s">
        <v>18</v>
      </c>
      <c r="E126" s="58" t="s">
        <v>38</v>
      </c>
      <c r="F126" s="51"/>
      <c r="G126" s="58" t="s">
        <v>10</v>
      </c>
      <c r="H126" s="58" t="s">
        <v>36</v>
      </c>
      <c r="I126" s="58" t="s">
        <v>19</v>
      </c>
      <c r="J126" s="59" t="s">
        <v>34</v>
      </c>
      <c r="K126" s="35"/>
      <c r="L126" s="57" t="s">
        <v>14</v>
      </c>
      <c r="M126" s="58" t="s">
        <v>13</v>
      </c>
      <c r="N126" s="58" t="s">
        <v>11</v>
      </c>
      <c r="O126" s="51"/>
      <c r="P126" s="58" t="s">
        <v>26</v>
      </c>
      <c r="Q126" s="58" t="s">
        <v>24</v>
      </c>
      <c r="R126" s="59" t="s">
        <v>12</v>
      </c>
      <c r="S126" s="35"/>
      <c r="T126" s="103" t="s">
        <v>34</v>
      </c>
      <c r="U126" s="104"/>
      <c r="V126" s="105" t="s">
        <v>21</v>
      </c>
      <c r="W126" s="105"/>
      <c r="X126" s="170" t="s">
        <v>34</v>
      </c>
      <c r="Y126" s="173"/>
      <c r="Z126" s="165"/>
      <c r="AA126" s="35"/>
      <c r="AB126" s="35"/>
      <c r="AC126" s="174">
        <f>SUM(B127:Z127)</f>
        <v>0</v>
      </c>
      <c r="AD126" s="175"/>
      <c r="AE126" s="114">
        <f>Z101</f>
        <v>1</v>
      </c>
      <c r="AF126" s="71"/>
      <c r="AG126" s="157">
        <f t="shared" ref="AG126" si="52">SUM(AC126,AE126)</f>
        <v>1</v>
      </c>
      <c r="AH126" s="158"/>
      <c r="AI126" s="159"/>
      <c r="AK126" s="119">
        <f t="shared" ref="AK126" si="53">SUM(AB127,AG126)</f>
        <v>1</v>
      </c>
      <c r="AL126" s="119"/>
      <c r="AM126" s="119"/>
      <c r="AN126" s="119"/>
    </row>
    <row r="127" spans="1:50" ht="15.75" thickBot="1" x14ac:dyDescent="0.3">
      <c r="A127" s="161"/>
      <c r="B127" s="57"/>
      <c r="C127" s="58"/>
      <c r="D127" s="58"/>
      <c r="E127" s="58"/>
      <c r="F127" s="65"/>
      <c r="G127" s="58"/>
      <c r="H127" s="58"/>
      <c r="I127" s="58"/>
      <c r="J127" s="59"/>
      <c r="K127" s="40"/>
      <c r="L127" s="57"/>
      <c r="M127" s="58"/>
      <c r="N127" s="58"/>
      <c r="O127" s="51"/>
      <c r="P127" s="58"/>
      <c r="Q127" s="58"/>
      <c r="R127" s="59"/>
      <c r="S127" s="34"/>
      <c r="T127" s="150"/>
      <c r="U127" s="151"/>
      <c r="V127" s="152"/>
      <c r="W127" s="153"/>
      <c r="X127" s="167"/>
      <c r="Y127" s="168"/>
      <c r="Z127" s="153"/>
      <c r="AA127" s="35"/>
      <c r="AB127" s="35">
        <v>0</v>
      </c>
      <c r="AC127" s="116"/>
      <c r="AD127" s="117"/>
      <c r="AE127" s="116"/>
      <c r="AF127" s="73"/>
      <c r="AG127" s="72"/>
      <c r="AH127" s="121"/>
      <c r="AI127" s="73"/>
      <c r="AK127" s="119"/>
      <c r="AL127" s="119"/>
      <c r="AM127" s="119"/>
      <c r="AN127" s="119"/>
    </row>
    <row r="128" spans="1:50" x14ac:dyDescent="0.25">
      <c r="A128" s="101" t="s">
        <v>81</v>
      </c>
      <c r="B128" s="57" t="s">
        <v>21</v>
      </c>
      <c r="C128" s="58" t="s">
        <v>14</v>
      </c>
      <c r="D128" s="58" t="s">
        <v>18</v>
      </c>
      <c r="E128" s="58" t="s">
        <v>11</v>
      </c>
      <c r="F128" s="51"/>
      <c r="G128" s="58" t="s">
        <v>10</v>
      </c>
      <c r="H128" s="58" t="s">
        <v>24</v>
      </c>
      <c r="I128" s="58" t="s">
        <v>41</v>
      </c>
      <c r="J128" s="59" t="s">
        <v>13</v>
      </c>
      <c r="K128" s="35"/>
      <c r="L128" s="57" t="s">
        <v>28</v>
      </c>
      <c r="M128" s="58" t="s">
        <v>17</v>
      </c>
      <c r="N128" s="58" t="s">
        <v>15</v>
      </c>
      <c r="O128" s="51"/>
      <c r="P128" s="58" t="s">
        <v>19</v>
      </c>
      <c r="Q128" s="58" t="s">
        <v>34</v>
      </c>
      <c r="R128" s="59" t="s">
        <v>26</v>
      </c>
      <c r="S128" s="35"/>
      <c r="T128" s="103" t="s">
        <v>11</v>
      </c>
      <c r="U128" s="104"/>
      <c r="V128" s="105" t="s">
        <v>24</v>
      </c>
      <c r="W128" s="105"/>
      <c r="X128" s="170" t="s">
        <v>21</v>
      </c>
      <c r="Y128" s="173"/>
      <c r="Z128" s="165"/>
      <c r="AA128" s="61"/>
      <c r="AB128" s="55"/>
      <c r="AC128" s="114">
        <f t="shared" ref="AC128" si="54">SUM(B129:Z129)</f>
        <v>0</v>
      </c>
      <c r="AD128" s="115"/>
      <c r="AE128" s="114">
        <f t="shared" ref="AE128" si="55">Z103</f>
        <v>1</v>
      </c>
      <c r="AF128" s="71"/>
      <c r="AG128" s="157">
        <f t="shared" ref="AG128" si="56">SUM(AC128,AE128)</f>
        <v>1</v>
      </c>
      <c r="AH128" s="158"/>
      <c r="AI128" s="159"/>
      <c r="AK128" s="119">
        <f t="shared" ref="AK128" si="57">SUM(AB129,AG128)</f>
        <v>1</v>
      </c>
      <c r="AL128" s="119"/>
      <c r="AM128" s="119"/>
      <c r="AN128" s="119"/>
      <c r="AP128" s="166"/>
      <c r="AQ128" s="166"/>
      <c r="AR128" s="166"/>
      <c r="AS128" s="166"/>
      <c r="AT128" s="166"/>
      <c r="AU128" s="166"/>
      <c r="AV128" s="166"/>
      <c r="AW128" s="166"/>
      <c r="AX128" s="166"/>
    </row>
    <row r="129" spans="1:50" ht="15.75" thickBot="1" x14ac:dyDescent="0.3">
      <c r="A129" s="102"/>
      <c r="B129" s="57"/>
      <c r="C129" s="58"/>
      <c r="D129" s="58"/>
      <c r="E129" s="58"/>
      <c r="F129" s="65"/>
      <c r="G129" s="58"/>
      <c r="H129" s="58"/>
      <c r="I129" s="58"/>
      <c r="J129" s="59"/>
      <c r="K129" s="40"/>
      <c r="L129" s="57"/>
      <c r="M129" s="58"/>
      <c r="N129" s="58"/>
      <c r="O129" s="51"/>
      <c r="P129" s="58"/>
      <c r="Q129" s="58"/>
      <c r="R129" s="59"/>
      <c r="S129" s="34"/>
      <c r="T129" s="150"/>
      <c r="U129" s="151"/>
      <c r="V129" s="152"/>
      <c r="W129" s="153"/>
      <c r="X129" s="167"/>
      <c r="Y129" s="168"/>
      <c r="Z129" s="153"/>
      <c r="AA129" s="61"/>
      <c r="AB129" s="55">
        <v>0</v>
      </c>
      <c r="AC129" s="116"/>
      <c r="AD129" s="117"/>
      <c r="AE129" s="116"/>
      <c r="AF129" s="73"/>
      <c r="AG129" s="72"/>
      <c r="AH129" s="121"/>
      <c r="AI129" s="73"/>
      <c r="AK129" s="119"/>
      <c r="AL129" s="119"/>
      <c r="AM129" s="119"/>
      <c r="AN129" s="119"/>
      <c r="AP129" s="166"/>
      <c r="AQ129" s="166"/>
      <c r="AR129" s="166"/>
      <c r="AS129" s="166"/>
      <c r="AT129" s="166"/>
      <c r="AU129" s="166"/>
      <c r="AV129" s="166"/>
      <c r="AW129" s="166"/>
      <c r="AX129" s="166"/>
    </row>
    <row r="130" spans="1:50" x14ac:dyDescent="0.25">
      <c r="A130" s="87" t="s">
        <v>82</v>
      </c>
      <c r="B130" s="66" t="s">
        <v>21</v>
      </c>
      <c r="C130" s="65" t="s">
        <v>14</v>
      </c>
      <c r="D130" s="65" t="s">
        <v>18</v>
      </c>
      <c r="E130" s="65" t="s">
        <v>28</v>
      </c>
      <c r="F130" s="51"/>
      <c r="G130" s="65" t="s">
        <v>10</v>
      </c>
      <c r="H130" s="65" t="s">
        <v>36</v>
      </c>
      <c r="I130" s="65" t="s">
        <v>44</v>
      </c>
      <c r="J130" s="67" t="s">
        <v>34</v>
      </c>
      <c r="K130" s="53"/>
      <c r="L130" s="66" t="s">
        <v>11</v>
      </c>
      <c r="M130" s="65" t="s">
        <v>17</v>
      </c>
      <c r="N130" s="65" t="s">
        <v>15</v>
      </c>
      <c r="O130" s="51"/>
      <c r="P130" s="65" t="s">
        <v>24</v>
      </c>
      <c r="Q130" s="65" t="s">
        <v>19</v>
      </c>
      <c r="R130" s="67" t="s">
        <v>13</v>
      </c>
      <c r="S130" s="53"/>
      <c r="T130" s="103" t="s">
        <v>14</v>
      </c>
      <c r="U130" s="104"/>
      <c r="V130" s="105" t="s">
        <v>10</v>
      </c>
      <c r="W130" s="105"/>
      <c r="X130" s="103" t="s">
        <v>14</v>
      </c>
      <c r="Y130" s="105"/>
      <c r="Z130" s="106"/>
      <c r="AA130" s="61"/>
      <c r="AB130" s="55"/>
      <c r="AC130" s="174">
        <f t="shared" ref="AC130" si="58">SUM(B131:Z131)</f>
        <v>0</v>
      </c>
      <c r="AD130" s="175"/>
      <c r="AE130" s="114">
        <f t="shared" ref="AE130" si="59">Z105</f>
        <v>1</v>
      </c>
      <c r="AF130" s="71"/>
      <c r="AG130" s="157">
        <f t="shared" ref="AG130" si="60">SUM(AC130,AE130)</f>
        <v>1</v>
      </c>
      <c r="AH130" s="158"/>
      <c r="AI130" s="159"/>
      <c r="AK130" s="119">
        <f t="shared" ref="AK130" si="61">SUM(AB131,AG130)</f>
        <v>1</v>
      </c>
      <c r="AL130" s="119"/>
      <c r="AM130" s="119"/>
      <c r="AN130" s="119"/>
    </row>
    <row r="131" spans="1:50" ht="15.75" thickBot="1" x14ac:dyDescent="0.3">
      <c r="A131" s="161"/>
      <c r="B131" s="57"/>
      <c r="C131" s="58"/>
      <c r="D131" s="58"/>
      <c r="E131" s="58"/>
      <c r="F131" s="51"/>
      <c r="G131" s="58"/>
      <c r="H131" s="58"/>
      <c r="I131" s="58"/>
      <c r="J131" s="59"/>
      <c r="K131" s="53"/>
      <c r="L131" s="57"/>
      <c r="M131" s="58"/>
      <c r="N131" s="58"/>
      <c r="O131" s="51"/>
      <c r="P131" s="58"/>
      <c r="Q131" s="58"/>
      <c r="R131" s="59"/>
      <c r="S131" s="53"/>
      <c r="T131" s="150"/>
      <c r="U131" s="151"/>
      <c r="V131" s="152"/>
      <c r="W131" s="153"/>
      <c r="X131" s="150"/>
      <c r="Y131" s="154"/>
      <c r="Z131" s="155"/>
      <c r="AA131" s="61"/>
      <c r="AB131" s="55">
        <v>0</v>
      </c>
      <c r="AC131" s="116"/>
      <c r="AD131" s="117"/>
      <c r="AE131" s="116"/>
      <c r="AF131" s="73"/>
      <c r="AG131" s="72"/>
      <c r="AH131" s="121"/>
      <c r="AI131" s="73"/>
      <c r="AK131" s="119"/>
      <c r="AL131" s="119"/>
      <c r="AM131" s="119"/>
      <c r="AN131" s="119"/>
    </row>
    <row r="132" spans="1:50" x14ac:dyDescent="0.25">
      <c r="A132" s="169" t="s">
        <v>83</v>
      </c>
      <c r="B132" s="57" t="s">
        <v>21</v>
      </c>
      <c r="C132" s="58" t="s">
        <v>14</v>
      </c>
      <c r="D132" s="58" t="s">
        <v>18</v>
      </c>
      <c r="E132" s="58" t="s">
        <v>15</v>
      </c>
      <c r="F132" s="51"/>
      <c r="G132" s="58" t="s">
        <v>10</v>
      </c>
      <c r="H132" s="58" t="s">
        <v>36</v>
      </c>
      <c r="I132" s="58" t="s">
        <v>19</v>
      </c>
      <c r="J132" s="59" t="s">
        <v>13</v>
      </c>
      <c r="K132" s="53"/>
      <c r="L132" s="57" t="s">
        <v>11</v>
      </c>
      <c r="M132" s="58" t="s">
        <v>28</v>
      </c>
      <c r="N132" s="58" t="s">
        <v>66</v>
      </c>
      <c r="O132" s="51"/>
      <c r="P132" s="58" t="s">
        <v>24</v>
      </c>
      <c r="Q132" s="58" t="s">
        <v>34</v>
      </c>
      <c r="R132" s="59" t="s">
        <v>32</v>
      </c>
      <c r="S132" s="53"/>
      <c r="T132" s="170" t="s">
        <v>21</v>
      </c>
      <c r="U132" s="171"/>
      <c r="V132" s="164" t="s">
        <v>24</v>
      </c>
      <c r="W132" s="165"/>
      <c r="X132" s="170" t="s">
        <v>21</v>
      </c>
      <c r="Y132" s="173"/>
      <c r="Z132" s="165"/>
      <c r="AA132" s="61"/>
      <c r="AB132" s="55"/>
      <c r="AC132" s="114">
        <f t="shared" ref="AC132" si="62">SUM(B133:Z133)</f>
        <v>0</v>
      </c>
      <c r="AD132" s="115"/>
      <c r="AE132" s="114">
        <f t="shared" ref="AE132" si="63">Z107</f>
        <v>1</v>
      </c>
      <c r="AF132" s="71"/>
      <c r="AG132" s="157">
        <f t="shared" ref="AG132" si="64">SUM(AC132,AE132)</f>
        <v>1</v>
      </c>
      <c r="AH132" s="158"/>
      <c r="AI132" s="159"/>
      <c r="AK132" s="119">
        <f t="shared" ref="AK132" si="65">SUM(AB133,AG132)</f>
        <v>1</v>
      </c>
      <c r="AL132" s="119"/>
      <c r="AM132" s="119"/>
      <c r="AN132" s="119"/>
      <c r="AP132" s="166"/>
      <c r="AQ132" s="166"/>
      <c r="AR132" s="166"/>
      <c r="AS132" s="166"/>
      <c r="AT132" s="166"/>
      <c r="AU132" s="166"/>
      <c r="AV132" s="166"/>
      <c r="AW132" s="166"/>
      <c r="AX132" s="166"/>
    </row>
    <row r="133" spans="1:50" ht="15.75" thickBot="1" x14ac:dyDescent="0.3">
      <c r="A133" s="102"/>
      <c r="B133" s="57"/>
      <c r="C133" s="58"/>
      <c r="D133" s="58"/>
      <c r="E133" s="58"/>
      <c r="F133" s="51"/>
      <c r="G133" s="58"/>
      <c r="H133" s="58"/>
      <c r="I133" s="58"/>
      <c r="J133" s="59"/>
      <c r="K133" s="53"/>
      <c r="L133" s="57"/>
      <c r="M133" s="58"/>
      <c r="N133" s="58"/>
      <c r="O133" s="51"/>
      <c r="P133" s="58"/>
      <c r="Q133" s="58"/>
      <c r="R133" s="59"/>
      <c r="S133" s="53"/>
      <c r="T133" s="150"/>
      <c r="U133" s="151"/>
      <c r="V133" s="152"/>
      <c r="W133" s="153"/>
      <c r="X133" s="167"/>
      <c r="Y133" s="168"/>
      <c r="Z133" s="153"/>
      <c r="AA133" s="61"/>
      <c r="AB133" s="55">
        <v>0</v>
      </c>
      <c r="AC133" s="116"/>
      <c r="AD133" s="117"/>
      <c r="AE133" s="116"/>
      <c r="AF133" s="73"/>
      <c r="AG133" s="72"/>
      <c r="AH133" s="121"/>
      <c r="AI133" s="73"/>
      <c r="AK133" s="119"/>
      <c r="AL133" s="119"/>
      <c r="AM133" s="119"/>
      <c r="AN133" s="119"/>
      <c r="AP133" s="166"/>
      <c r="AQ133" s="166"/>
      <c r="AR133" s="166"/>
      <c r="AS133" s="166"/>
      <c r="AT133" s="166"/>
      <c r="AU133" s="166"/>
      <c r="AV133" s="166"/>
      <c r="AW133" s="166"/>
      <c r="AX133" s="166"/>
    </row>
    <row r="134" spans="1:50" x14ac:dyDescent="0.25">
      <c r="A134" s="176" t="s">
        <v>88</v>
      </c>
      <c r="B134" s="57" t="s">
        <v>21</v>
      </c>
      <c r="C134" s="58" t="s">
        <v>14</v>
      </c>
      <c r="D134" s="58" t="s">
        <v>18</v>
      </c>
      <c r="E134" s="58" t="s">
        <v>11</v>
      </c>
      <c r="F134" s="51"/>
      <c r="G134" s="58" t="s">
        <v>32</v>
      </c>
      <c r="H134" s="58" t="s">
        <v>24</v>
      </c>
      <c r="I134" s="58" t="s">
        <v>44</v>
      </c>
      <c r="J134" s="59" t="s">
        <v>13</v>
      </c>
      <c r="K134" s="53"/>
      <c r="L134" s="57" t="s">
        <v>66</v>
      </c>
      <c r="M134" s="58" t="s">
        <v>15</v>
      </c>
      <c r="N134" s="58" t="s">
        <v>43</v>
      </c>
      <c r="O134" s="51"/>
      <c r="P134" s="58" t="s">
        <v>10</v>
      </c>
      <c r="Q134" s="58" t="s">
        <v>36</v>
      </c>
      <c r="R134" s="59" t="s">
        <v>34</v>
      </c>
      <c r="S134" s="53"/>
      <c r="T134" s="170" t="s">
        <v>14</v>
      </c>
      <c r="U134" s="171"/>
      <c r="V134" s="164" t="s">
        <v>24</v>
      </c>
      <c r="W134" s="165"/>
      <c r="X134" s="170" t="s">
        <v>14</v>
      </c>
      <c r="Y134" s="173"/>
      <c r="Z134" s="165"/>
      <c r="AA134" s="61"/>
      <c r="AB134" s="55"/>
      <c r="AC134" s="174">
        <f t="shared" ref="AC134" si="66">SUM(B135:Z135)</f>
        <v>0</v>
      </c>
      <c r="AD134" s="175"/>
      <c r="AE134" s="114">
        <f t="shared" ref="AE134" si="67">Z109</f>
        <v>1</v>
      </c>
      <c r="AF134" s="71"/>
      <c r="AG134" s="157">
        <f t="shared" ref="AG134" si="68">SUM(AC134,AE134)</f>
        <v>1</v>
      </c>
      <c r="AH134" s="158"/>
      <c r="AI134" s="159"/>
      <c r="AK134" s="119">
        <f t="shared" ref="AK134" si="69">SUM(AB135,AG134)</f>
        <v>1</v>
      </c>
      <c r="AL134" s="119"/>
      <c r="AM134" s="119"/>
      <c r="AN134" s="119"/>
      <c r="AP134" s="166"/>
      <c r="AQ134" s="166"/>
      <c r="AR134" s="166"/>
      <c r="AS134" s="166"/>
      <c r="AT134" s="166"/>
      <c r="AU134" s="166"/>
      <c r="AV134" s="166"/>
      <c r="AW134" s="166"/>
      <c r="AX134" s="166"/>
    </row>
    <row r="135" spans="1:50" ht="15.75" thickBot="1" x14ac:dyDescent="0.3">
      <c r="A135" s="161"/>
      <c r="B135" s="57"/>
      <c r="C135" s="58"/>
      <c r="D135" s="58"/>
      <c r="E135" s="58"/>
      <c r="F135" s="51"/>
      <c r="G135" s="58"/>
      <c r="H135" s="58"/>
      <c r="I135" s="58"/>
      <c r="J135" s="59"/>
      <c r="K135" s="53"/>
      <c r="L135" s="57"/>
      <c r="M135" s="58"/>
      <c r="N135" s="58"/>
      <c r="O135" s="51"/>
      <c r="P135" s="58"/>
      <c r="Q135" s="58"/>
      <c r="R135" s="59"/>
      <c r="S135" s="53"/>
      <c r="T135" s="150"/>
      <c r="U135" s="151"/>
      <c r="V135" s="152"/>
      <c r="W135" s="153"/>
      <c r="X135" s="150"/>
      <c r="Y135" s="154"/>
      <c r="Z135" s="155"/>
      <c r="AA135" s="61"/>
      <c r="AB135" s="55">
        <v>0</v>
      </c>
      <c r="AC135" s="116"/>
      <c r="AD135" s="117"/>
      <c r="AE135" s="116"/>
      <c r="AF135" s="73"/>
      <c r="AG135" s="72"/>
      <c r="AH135" s="121"/>
      <c r="AI135" s="73"/>
      <c r="AK135" s="119"/>
      <c r="AL135" s="119"/>
      <c r="AM135" s="119"/>
      <c r="AN135" s="119"/>
      <c r="AP135" s="166"/>
      <c r="AQ135" s="166"/>
      <c r="AR135" s="166"/>
      <c r="AS135" s="166"/>
      <c r="AT135" s="166"/>
      <c r="AU135" s="166"/>
      <c r="AV135" s="166"/>
      <c r="AW135" s="166"/>
      <c r="AX135" s="166"/>
    </row>
    <row r="136" spans="1:50" x14ac:dyDescent="0.25">
      <c r="A136" s="169" t="s">
        <v>85</v>
      </c>
      <c r="B136" s="57" t="s">
        <v>43</v>
      </c>
      <c r="C136" s="58" t="s">
        <v>14</v>
      </c>
      <c r="D136" s="58" t="s">
        <v>18</v>
      </c>
      <c r="E136" s="58" t="s">
        <v>11</v>
      </c>
      <c r="F136" s="51"/>
      <c r="G136" s="58" t="s">
        <v>10</v>
      </c>
      <c r="H136" s="58" t="s">
        <v>12</v>
      </c>
      <c r="I136" s="58" t="s">
        <v>19</v>
      </c>
      <c r="J136" s="59" t="s">
        <v>26</v>
      </c>
      <c r="K136" s="53"/>
      <c r="L136" s="57" t="s">
        <v>21</v>
      </c>
      <c r="M136" s="58" t="s">
        <v>33</v>
      </c>
      <c r="N136" s="58" t="s">
        <v>15</v>
      </c>
      <c r="O136" s="51"/>
      <c r="P136" s="58" t="s">
        <v>25</v>
      </c>
      <c r="Q136" s="58" t="s">
        <v>13</v>
      </c>
      <c r="R136" s="59" t="s">
        <v>36</v>
      </c>
      <c r="S136" s="53"/>
      <c r="T136" s="170" t="s">
        <v>11</v>
      </c>
      <c r="U136" s="171"/>
      <c r="V136" s="164" t="s">
        <v>10</v>
      </c>
      <c r="W136" s="165"/>
      <c r="X136" s="170" t="s">
        <v>11</v>
      </c>
      <c r="Y136" s="173"/>
      <c r="Z136" s="165"/>
      <c r="AA136" s="61"/>
      <c r="AB136" s="55"/>
      <c r="AC136" s="114">
        <f t="shared" ref="AC136" si="70">SUM(B137:Z137)</f>
        <v>0</v>
      </c>
      <c r="AD136" s="115"/>
      <c r="AE136" s="114">
        <f t="shared" ref="AE136" si="71">Z111</f>
        <v>1</v>
      </c>
      <c r="AF136" s="71"/>
      <c r="AG136" s="157">
        <f t="shared" ref="AG136" si="72">SUM(AC136,AE136)</f>
        <v>1</v>
      </c>
      <c r="AH136" s="158"/>
      <c r="AI136" s="159"/>
      <c r="AK136" s="119">
        <f t="shared" ref="AK136" si="73">SUM(AB137,AG136)</f>
        <v>1</v>
      </c>
      <c r="AL136" s="119"/>
      <c r="AM136" s="119"/>
      <c r="AN136" s="119"/>
      <c r="AP136" s="166"/>
      <c r="AQ136" s="166"/>
      <c r="AR136" s="166"/>
      <c r="AS136" s="166"/>
      <c r="AT136" s="166"/>
      <c r="AU136" s="166"/>
      <c r="AV136" s="166"/>
      <c r="AW136" s="166"/>
      <c r="AX136" s="166"/>
    </row>
    <row r="137" spans="1:50" ht="15.75" thickBot="1" x14ac:dyDescent="0.3">
      <c r="A137" s="102"/>
      <c r="B137" s="57"/>
      <c r="C137" s="58"/>
      <c r="D137" s="58"/>
      <c r="E137" s="58"/>
      <c r="F137" s="51"/>
      <c r="G137" s="58"/>
      <c r="H137" s="58"/>
      <c r="I137" s="58"/>
      <c r="J137" s="59"/>
      <c r="K137" s="53"/>
      <c r="L137" s="57"/>
      <c r="M137" s="58"/>
      <c r="N137" s="58"/>
      <c r="O137" s="51"/>
      <c r="P137" s="58"/>
      <c r="Q137" s="58"/>
      <c r="R137" s="59"/>
      <c r="S137" s="53"/>
      <c r="T137" s="150"/>
      <c r="U137" s="151"/>
      <c r="V137" s="152"/>
      <c r="W137" s="153"/>
      <c r="X137" s="150"/>
      <c r="Y137" s="154"/>
      <c r="Z137" s="155"/>
      <c r="AA137" s="61"/>
      <c r="AB137" s="55">
        <v>0</v>
      </c>
      <c r="AC137" s="116"/>
      <c r="AD137" s="117"/>
      <c r="AE137" s="116"/>
      <c r="AF137" s="73"/>
      <c r="AG137" s="72"/>
      <c r="AH137" s="121"/>
      <c r="AI137" s="73"/>
      <c r="AK137" s="119"/>
      <c r="AL137" s="119"/>
      <c r="AM137" s="119"/>
      <c r="AN137" s="119"/>
      <c r="AP137" s="166"/>
      <c r="AQ137" s="166"/>
      <c r="AR137" s="166"/>
      <c r="AS137" s="166"/>
      <c r="AT137" s="166"/>
      <c r="AU137" s="166"/>
      <c r="AV137" s="166"/>
      <c r="AW137" s="166"/>
      <c r="AX137" s="166"/>
    </row>
    <row r="138" spans="1:50" x14ac:dyDescent="0.25">
      <c r="A138" s="176" t="s">
        <v>86</v>
      </c>
      <c r="B138" s="57" t="s">
        <v>21</v>
      </c>
      <c r="C138" s="58" t="s">
        <v>14</v>
      </c>
      <c r="D138" s="58" t="s">
        <v>18</v>
      </c>
      <c r="E138" s="58" t="s">
        <v>11</v>
      </c>
      <c r="F138" s="51"/>
      <c r="G138" s="58" t="s">
        <v>10</v>
      </c>
      <c r="H138" s="58" t="s">
        <v>24</v>
      </c>
      <c r="I138" s="58" t="s">
        <v>19</v>
      </c>
      <c r="J138" s="59" t="s">
        <v>26</v>
      </c>
      <c r="K138" s="53"/>
      <c r="L138" s="57" t="s">
        <v>43</v>
      </c>
      <c r="M138" s="58" t="s">
        <v>15</v>
      </c>
      <c r="N138" s="58" t="s">
        <v>16</v>
      </c>
      <c r="O138" s="51"/>
      <c r="P138" s="58" t="s">
        <v>12</v>
      </c>
      <c r="Q138" s="58" t="s">
        <v>13</v>
      </c>
      <c r="R138" s="59" t="s">
        <v>25</v>
      </c>
      <c r="S138" s="53"/>
      <c r="T138" s="170" t="s">
        <v>11</v>
      </c>
      <c r="U138" s="171"/>
      <c r="V138" s="164" t="s">
        <v>10</v>
      </c>
      <c r="W138" s="165"/>
      <c r="X138" s="170" t="s">
        <v>11</v>
      </c>
      <c r="Y138" s="173"/>
      <c r="Z138" s="165"/>
      <c r="AA138" s="61"/>
      <c r="AB138" s="55"/>
      <c r="AC138" s="174">
        <f t="shared" ref="AC138" si="74">SUM(B139:Z139)</f>
        <v>0</v>
      </c>
      <c r="AD138" s="175"/>
      <c r="AE138" s="114">
        <f t="shared" ref="AE138" si="75">Z113</f>
        <v>1</v>
      </c>
      <c r="AF138" s="71"/>
      <c r="AG138" s="157">
        <f>SUM(AC138,AE138)</f>
        <v>1</v>
      </c>
      <c r="AH138" s="158"/>
      <c r="AI138" s="159"/>
      <c r="AK138" s="119">
        <f>SUM(AB139,AG138)</f>
        <v>1</v>
      </c>
      <c r="AL138" s="119"/>
      <c r="AM138" s="119"/>
      <c r="AN138" s="119"/>
    </row>
    <row r="139" spans="1:50" ht="15.75" thickBot="1" x14ac:dyDescent="0.3">
      <c r="A139" s="161"/>
      <c r="B139" s="57"/>
      <c r="C139" s="58"/>
      <c r="D139" s="58"/>
      <c r="E139" s="58"/>
      <c r="F139" s="51"/>
      <c r="G139" s="58"/>
      <c r="H139" s="58"/>
      <c r="I139" s="58"/>
      <c r="J139" s="59"/>
      <c r="K139" s="53"/>
      <c r="L139" s="57"/>
      <c r="M139" s="58"/>
      <c r="N139" s="58"/>
      <c r="O139" s="51"/>
      <c r="P139" s="58"/>
      <c r="Q139" s="58"/>
      <c r="R139" s="59"/>
      <c r="S139" s="53"/>
      <c r="T139" s="150"/>
      <c r="U139" s="151"/>
      <c r="V139" s="152"/>
      <c r="W139" s="153"/>
      <c r="X139" s="150"/>
      <c r="Y139" s="154"/>
      <c r="Z139" s="155"/>
      <c r="AA139" s="61"/>
      <c r="AB139" s="55">
        <v>0</v>
      </c>
      <c r="AC139" s="116"/>
      <c r="AD139" s="117"/>
      <c r="AE139" s="116"/>
      <c r="AF139" s="73"/>
      <c r="AG139" s="72"/>
      <c r="AH139" s="121"/>
      <c r="AI139" s="73"/>
      <c r="AK139" s="119"/>
      <c r="AL139" s="119"/>
      <c r="AM139" s="119"/>
      <c r="AN139" s="119"/>
    </row>
    <row r="140" spans="1:50" x14ac:dyDescent="0.25">
      <c r="A140" s="169" t="s">
        <v>87</v>
      </c>
      <c r="B140" s="57" t="s">
        <v>21</v>
      </c>
      <c r="C140" s="58" t="s">
        <v>66</v>
      </c>
      <c r="D140" s="58" t="s">
        <v>18</v>
      </c>
      <c r="E140" s="58" t="s">
        <v>11</v>
      </c>
      <c r="F140" s="51"/>
      <c r="G140" s="58" t="s">
        <v>10</v>
      </c>
      <c r="H140" s="58" t="s">
        <v>24</v>
      </c>
      <c r="I140" s="58" t="s">
        <v>44</v>
      </c>
      <c r="J140" s="59" t="s">
        <v>26</v>
      </c>
      <c r="K140" s="53"/>
      <c r="L140" s="57" t="s">
        <v>17</v>
      </c>
      <c r="M140" s="58" t="s">
        <v>33</v>
      </c>
      <c r="N140" s="58" t="s">
        <v>28</v>
      </c>
      <c r="O140" s="51"/>
      <c r="P140" s="58" t="s">
        <v>32</v>
      </c>
      <c r="Q140" s="58" t="s">
        <v>36</v>
      </c>
      <c r="R140" s="59" t="s">
        <v>13</v>
      </c>
      <c r="S140" s="53"/>
      <c r="T140" s="170" t="s">
        <v>21</v>
      </c>
      <c r="U140" s="171"/>
      <c r="V140" s="164" t="s">
        <v>10</v>
      </c>
      <c r="W140" s="165"/>
      <c r="X140" s="170" t="s">
        <v>21</v>
      </c>
      <c r="Y140" s="173"/>
      <c r="Z140" s="165"/>
      <c r="AA140" s="61"/>
      <c r="AB140" s="55"/>
      <c r="AC140" s="114">
        <f t="shared" ref="AC140" si="76">SUM(B141:Z141)</f>
        <v>0</v>
      </c>
      <c r="AD140" s="115"/>
      <c r="AE140" s="114">
        <f t="shared" ref="AE140" si="77">Z115</f>
        <v>1</v>
      </c>
      <c r="AF140" s="71"/>
      <c r="AG140" s="157">
        <f>SUM(AC140,AE140)</f>
        <v>1</v>
      </c>
      <c r="AH140" s="158"/>
      <c r="AI140" s="159"/>
      <c r="AK140" s="119">
        <f>SUM(AB141,AG140)</f>
        <v>1</v>
      </c>
      <c r="AL140" s="119"/>
      <c r="AM140" s="119"/>
      <c r="AN140" s="119"/>
      <c r="AP140" s="166"/>
      <c r="AQ140" s="166"/>
      <c r="AR140" s="166"/>
      <c r="AS140" s="166"/>
      <c r="AT140" s="166"/>
      <c r="AU140" s="166"/>
      <c r="AV140" s="166"/>
      <c r="AW140" s="166"/>
      <c r="AX140" s="166"/>
    </row>
    <row r="141" spans="1:50" ht="15.75" thickBot="1" x14ac:dyDescent="0.3">
      <c r="A141" s="102"/>
      <c r="B141" s="57"/>
      <c r="C141" s="58"/>
      <c r="D141" s="58"/>
      <c r="E141" s="58"/>
      <c r="F141" s="51"/>
      <c r="G141" s="58"/>
      <c r="H141" s="58"/>
      <c r="I141" s="58"/>
      <c r="J141" s="59"/>
      <c r="K141" s="53"/>
      <c r="L141" s="57"/>
      <c r="M141" s="58"/>
      <c r="N141" s="58"/>
      <c r="O141" s="51"/>
      <c r="P141" s="58"/>
      <c r="Q141" s="58"/>
      <c r="R141" s="59"/>
      <c r="S141" s="53"/>
      <c r="T141" s="150"/>
      <c r="U141" s="151"/>
      <c r="V141" s="152"/>
      <c r="W141" s="153"/>
      <c r="X141" s="167"/>
      <c r="Y141" s="168"/>
      <c r="Z141" s="153"/>
      <c r="AA141" s="61"/>
      <c r="AB141" s="55">
        <v>0</v>
      </c>
      <c r="AC141" s="116"/>
      <c r="AD141" s="117"/>
      <c r="AE141" s="116"/>
      <c r="AF141" s="73"/>
      <c r="AG141" s="72"/>
      <c r="AH141" s="121"/>
      <c r="AI141" s="73"/>
      <c r="AK141" s="119"/>
      <c r="AL141" s="119"/>
      <c r="AM141" s="119"/>
      <c r="AN141" s="119"/>
      <c r="AP141" s="166"/>
      <c r="AQ141" s="166"/>
      <c r="AR141" s="166"/>
      <c r="AS141" s="166"/>
      <c r="AT141" s="166"/>
      <c r="AU141" s="166"/>
      <c r="AV141" s="166"/>
      <c r="AW141" s="166"/>
      <c r="AX141" s="166"/>
    </row>
    <row r="142" spans="1:50" x14ac:dyDescent="0.25">
      <c r="A142" s="176"/>
      <c r="B142" s="57"/>
      <c r="C142" s="58"/>
      <c r="D142" s="58"/>
      <c r="E142" s="58"/>
      <c r="F142" s="51"/>
      <c r="G142" s="58"/>
      <c r="H142" s="58"/>
      <c r="I142" s="58"/>
      <c r="J142" s="59"/>
      <c r="K142" s="53"/>
      <c r="L142" s="57"/>
      <c r="M142" s="58"/>
      <c r="N142" s="58"/>
      <c r="O142" s="51"/>
      <c r="P142" s="58"/>
      <c r="Q142" s="58"/>
      <c r="R142" s="59"/>
      <c r="S142" s="53"/>
      <c r="T142" s="170"/>
      <c r="U142" s="171"/>
      <c r="V142" s="164"/>
      <c r="W142" s="165"/>
      <c r="X142" s="170"/>
      <c r="Y142" s="173"/>
      <c r="Z142" s="165"/>
      <c r="AA142" s="61"/>
      <c r="AB142" s="55"/>
      <c r="AC142" s="174">
        <f t="shared" ref="AC142" si="78">SUM(B143:Z143)</f>
        <v>0</v>
      </c>
      <c r="AD142" s="175"/>
      <c r="AE142" s="114">
        <f t="shared" ref="AE142" si="79">Z117</f>
        <v>1</v>
      </c>
      <c r="AF142" s="71"/>
      <c r="AG142" s="157">
        <f>SUM(AC142,AE142)</f>
        <v>1</v>
      </c>
      <c r="AH142" s="158"/>
      <c r="AI142" s="159"/>
      <c r="AK142" s="119">
        <f>SUM(AB143,AG142)</f>
        <v>1</v>
      </c>
      <c r="AL142" s="119"/>
      <c r="AM142" s="119"/>
      <c r="AN142" s="119"/>
    </row>
    <row r="143" spans="1:50" x14ac:dyDescent="0.25">
      <c r="A143" s="161"/>
      <c r="B143" s="57"/>
      <c r="C143" s="58"/>
      <c r="D143" s="58"/>
      <c r="E143" s="58"/>
      <c r="F143" s="51"/>
      <c r="G143" s="58"/>
      <c r="H143" s="58"/>
      <c r="I143" s="58"/>
      <c r="J143" s="59"/>
      <c r="K143" s="53"/>
      <c r="L143" s="57"/>
      <c r="M143" s="58"/>
      <c r="N143" s="58"/>
      <c r="O143" s="51"/>
      <c r="P143" s="58"/>
      <c r="Q143" s="58"/>
      <c r="R143" s="59"/>
      <c r="S143" s="53"/>
      <c r="T143" s="150"/>
      <c r="U143" s="151"/>
      <c r="V143" s="152"/>
      <c r="W143" s="153"/>
      <c r="X143" s="150"/>
      <c r="Y143" s="154"/>
      <c r="Z143" s="155"/>
      <c r="AA143" s="61"/>
      <c r="AB143" s="55">
        <v>0</v>
      </c>
      <c r="AC143" s="116"/>
      <c r="AD143" s="117"/>
      <c r="AE143" s="116"/>
      <c r="AF143" s="73"/>
      <c r="AG143" s="72"/>
      <c r="AH143" s="121"/>
      <c r="AI143" s="73"/>
      <c r="AK143" s="119"/>
      <c r="AL143" s="119"/>
      <c r="AM143" s="119"/>
      <c r="AN143" s="119"/>
    </row>
  </sheetData>
  <mergeCells count="454">
    <mergeCell ref="AG142:AI143"/>
    <mergeCell ref="AK142:AN143"/>
    <mergeCell ref="T143:U143"/>
    <mergeCell ref="V143:W143"/>
    <mergeCell ref="X143:Z143"/>
    <mergeCell ref="A142:A143"/>
    <mergeCell ref="T142:U142"/>
    <mergeCell ref="V142:W142"/>
    <mergeCell ref="X142:Z142"/>
    <mergeCell ref="AC142:AD143"/>
    <mergeCell ref="AE142:AF143"/>
    <mergeCell ref="AE140:AF141"/>
    <mergeCell ref="AG140:AI141"/>
    <mergeCell ref="AK140:AN141"/>
    <mergeCell ref="AP140:AX141"/>
    <mergeCell ref="T141:U141"/>
    <mergeCell ref="V141:W141"/>
    <mergeCell ref="X141:Z141"/>
    <mergeCell ref="AG138:AI139"/>
    <mergeCell ref="AK138:AN139"/>
    <mergeCell ref="T139:U139"/>
    <mergeCell ref="V139:W139"/>
    <mergeCell ref="X139:Z139"/>
    <mergeCell ref="AE138:AF139"/>
    <mergeCell ref="A140:A141"/>
    <mergeCell ref="T140:U140"/>
    <mergeCell ref="V140:W140"/>
    <mergeCell ref="X140:Z140"/>
    <mergeCell ref="AC140:AD141"/>
    <mergeCell ref="A138:A139"/>
    <mergeCell ref="T138:U138"/>
    <mergeCell ref="V138:W138"/>
    <mergeCell ref="X138:Z138"/>
    <mergeCell ref="AC138:AD139"/>
    <mergeCell ref="AG136:AI137"/>
    <mergeCell ref="AK136:AN137"/>
    <mergeCell ref="AP136:AX137"/>
    <mergeCell ref="T137:U137"/>
    <mergeCell ref="V137:W137"/>
    <mergeCell ref="X137:Z137"/>
    <mergeCell ref="A136:A137"/>
    <mergeCell ref="T136:U136"/>
    <mergeCell ref="V136:W136"/>
    <mergeCell ref="X136:Z136"/>
    <mergeCell ref="AC136:AD137"/>
    <mergeCell ref="AE136:AF137"/>
    <mergeCell ref="AG134:AI135"/>
    <mergeCell ref="AK134:AN135"/>
    <mergeCell ref="AP134:AX135"/>
    <mergeCell ref="T135:U135"/>
    <mergeCell ref="V135:W135"/>
    <mergeCell ref="X135:Z135"/>
    <mergeCell ref="A134:A135"/>
    <mergeCell ref="T134:U134"/>
    <mergeCell ref="V134:W134"/>
    <mergeCell ref="X134:Z134"/>
    <mergeCell ref="AC134:AD135"/>
    <mergeCell ref="AE134:AF135"/>
    <mergeCell ref="AE132:AF133"/>
    <mergeCell ref="AG132:AI133"/>
    <mergeCell ref="AK132:AN133"/>
    <mergeCell ref="AP132:AX133"/>
    <mergeCell ref="T133:U133"/>
    <mergeCell ref="V133:W133"/>
    <mergeCell ref="X133:Z133"/>
    <mergeCell ref="AG130:AI131"/>
    <mergeCell ref="AK130:AN131"/>
    <mergeCell ref="T131:U131"/>
    <mergeCell ref="V131:W131"/>
    <mergeCell ref="X131:Z131"/>
    <mergeCell ref="AE130:AF131"/>
    <mergeCell ref="A132:A133"/>
    <mergeCell ref="T132:U132"/>
    <mergeCell ref="V132:W132"/>
    <mergeCell ref="X132:Z132"/>
    <mergeCell ref="AC132:AD133"/>
    <mergeCell ref="A130:A131"/>
    <mergeCell ref="T130:U130"/>
    <mergeCell ref="V130:W130"/>
    <mergeCell ref="X130:Z130"/>
    <mergeCell ref="AC130:AD131"/>
    <mergeCell ref="AG128:AI129"/>
    <mergeCell ref="AK128:AN129"/>
    <mergeCell ref="AP128:AX129"/>
    <mergeCell ref="T129:U129"/>
    <mergeCell ref="V129:W129"/>
    <mergeCell ref="X129:Z129"/>
    <mergeCell ref="A128:A129"/>
    <mergeCell ref="T128:U128"/>
    <mergeCell ref="V128:W128"/>
    <mergeCell ref="X128:Z128"/>
    <mergeCell ref="AC128:AD129"/>
    <mergeCell ref="AE128:AF129"/>
    <mergeCell ref="AC126:AD127"/>
    <mergeCell ref="AE126:AF127"/>
    <mergeCell ref="AG126:AI127"/>
    <mergeCell ref="AK126:AN127"/>
    <mergeCell ref="T127:U127"/>
    <mergeCell ref="V127:W127"/>
    <mergeCell ref="X127:Z127"/>
    <mergeCell ref="V125:W125"/>
    <mergeCell ref="X125:Z125"/>
    <mergeCell ref="A126:A127"/>
    <mergeCell ref="T126:U126"/>
    <mergeCell ref="V126:W126"/>
    <mergeCell ref="X126:Z126"/>
    <mergeCell ref="AP122:AX122"/>
    <mergeCell ref="A124:A125"/>
    <mergeCell ref="T124:U124"/>
    <mergeCell ref="V124:W124"/>
    <mergeCell ref="X124:Z124"/>
    <mergeCell ref="AC124:AD125"/>
    <mergeCell ref="AE124:AF125"/>
    <mergeCell ref="AG124:AI125"/>
    <mergeCell ref="AK124:AN125"/>
    <mergeCell ref="T125:U125"/>
    <mergeCell ref="AC121:AD123"/>
    <mergeCell ref="AE121:AF123"/>
    <mergeCell ref="AG121:AI123"/>
    <mergeCell ref="AJ121:AO123"/>
    <mergeCell ref="B122:E122"/>
    <mergeCell ref="G122:J122"/>
    <mergeCell ref="L122:N123"/>
    <mergeCell ref="P122:R123"/>
    <mergeCell ref="T122:U123"/>
    <mergeCell ref="V122:W123"/>
    <mergeCell ref="A117:A118"/>
    <mergeCell ref="Z117:AA118"/>
    <mergeCell ref="A121:A123"/>
    <mergeCell ref="B121:J121"/>
    <mergeCell ref="L121:R121"/>
    <mergeCell ref="X121:Z123"/>
    <mergeCell ref="A111:A112"/>
    <mergeCell ref="Z111:AA112"/>
    <mergeCell ref="A113:A114"/>
    <mergeCell ref="Z113:AA114"/>
    <mergeCell ref="A115:A116"/>
    <mergeCell ref="Z115:AA116"/>
    <mergeCell ref="A105:A106"/>
    <mergeCell ref="Z105:AA106"/>
    <mergeCell ref="A107:A108"/>
    <mergeCell ref="Z107:AA108"/>
    <mergeCell ref="A109:A110"/>
    <mergeCell ref="Z109:AA110"/>
    <mergeCell ref="A99:A100"/>
    <mergeCell ref="Z99:AA100"/>
    <mergeCell ref="A101:A102"/>
    <mergeCell ref="Z101:AA102"/>
    <mergeCell ref="A103:A104"/>
    <mergeCell ref="Z103:AA104"/>
    <mergeCell ref="AG93:AI94"/>
    <mergeCell ref="AK93:AN94"/>
    <mergeCell ref="T94:U94"/>
    <mergeCell ref="V94:W94"/>
    <mergeCell ref="X94:Z94"/>
    <mergeCell ref="A96:A97"/>
    <mergeCell ref="D96:E96"/>
    <mergeCell ref="I96:J96"/>
    <mergeCell ref="N96:O96"/>
    <mergeCell ref="Z96:AA98"/>
    <mergeCell ref="A93:A94"/>
    <mergeCell ref="T93:U93"/>
    <mergeCell ref="V93:W93"/>
    <mergeCell ref="X93:Z93"/>
    <mergeCell ref="AC93:AD94"/>
    <mergeCell ref="AE93:AF94"/>
    <mergeCell ref="AE91:AF92"/>
    <mergeCell ref="AG91:AI92"/>
    <mergeCell ref="AK91:AN92"/>
    <mergeCell ref="AP91:AX92"/>
    <mergeCell ref="T92:U92"/>
    <mergeCell ref="V92:W92"/>
    <mergeCell ref="X92:Z92"/>
    <mergeCell ref="AG89:AI90"/>
    <mergeCell ref="AK89:AN90"/>
    <mergeCell ref="T90:U90"/>
    <mergeCell ref="V90:W90"/>
    <mergeCell ref="X90:Z90"/>
    <mergeCell ref="AE89:AF90"/>
    <mergeCell ref="A91:A92"/>
    <mergeCell ref="T91:U91"/>
    <mergeCell ref="V91:W91"/>
    <mergeCell ref="X91:Z91"/>
    <mergeCell ref="AC91:AD92"/>
    <mergeCell ref="A89:A90"/>
    <mergeCell ref="T89:U89"/>
    <mergeCell ref="V89:W89"/>
    <mergeCell ref="X89:Z89"/>
    <mergeCell ref="AC89:AD90"/>
    <mergeCell ref="AG87:AI88"/>
    <mergeCell ref="AK87:AN88"/>
    <mergeCell ref="AP87:AX88"/>
    <mergeCell ref="T88:U88"/>
    <mergeCell ref="V88:W88"/>
    <mergeCell ref="X88:Z88"/>
    <mergeCell ref="A87:A88"/>
    <mergeCell ref="T87:U87"/>
    <mergeCell ref="V87:W87"/>
    <mergeCell ref="X87:Z87"/>
    <mergeCell ref="AC87:AD88"/>
    <mergeCell ref="AE87:AF88"/>
    <mergeCell ref="AG85:AI86"/>
    <mergeCell ref="AK85:AN86"/>
    <mergeCell ref="AP85:AX86"/>
    <mergeCell ref="T86:U86"/>
    <mergeCell ref="V86:W86"/>
    <mergeCell ref="X86:Z86"/>
    <mergeCell ref="A85:A86"/>
    <mergeCell ref="T85:U85"/>
    <mergeCell ref="V85:W85"/>
    <mergeCell ref="X85:Z85"/>
    <mergeCell ref="AC85:AD86"/>
    <mergeCell ref="AE85:AF86"/>
    <mergeCell ref="AE83:AF84"/>
    <mergeCell ref="AG83:AI84"/>
    <mergeCell ref="AK83:AN84"/>
    <mergeCell ref="AP83:AX84"/>
    <mergeCell ref="T84:U84"/>
    <mergeCell ref="V84:W84"/>
    <mergeCell ref="X84:Z84"/>
    <mergeCell ref="AG81:AI82"/>
    <mergeCell ref="AK81:AN82"/>
    <mergeCell ref="T82:U82"/>
    <mergeCell ref="V82:W82"/>
    <mergeCell ref="X82:Z82"/>
    <mergeCell ref="AE81:AF82"/>
    <mergeCell ref="A83:A84"/>
    <mergeCell ref="T83:U83"/>
    <mergeCell ref="V83:W83"/>
    <mergeCell ref="X83:Z83"/>
    <mergeCell ref="AC83:AD84"/>
    <mergeCell ref="A81:A82"/>
    <mergeCell ref="T81:U81"/>
    <mergeCell ref="V81:W81"/>
    <mergeCell ref="X81:Z81"/>
    <mergeCell ref="AC81:AD82"/>
    <mergeCell ref="AG79:AI80"/>
    <mergeCell ref="AK79:AN80"/>
    <mergeCell ref="AP79:AX80"/>
    <mergeCell ref="T80:U80"/>
    <mergeCell ref="V80:W80"/>
    <mergeCell ref="X80:Z80"/>
    <mergeCell ref="A79:A80"/>
    <mergeCell ref="T79:U79"/>
    <mergeCell ref="V79:W79"/>
    <mergeCell ref="X79:Z79"/>
    <mergeCell ref="AC79:AD80"/>
    <mergeCell ref="AE79:AF80"/>
    <mergeCell ref="AC77:AD78"/>
    <mergeCell ref="AE77:AF78"/>
    <mergeCell ref="AG77:AI78"/>
    <mergeCell ref="AK77:AN78"/>
    <mergeCell ref="T78:U78"/>
    <mergeCell ref="V78:W78"/>
    <mergeCell ref="X78:Z78"/>
    <mergeCell ref="V76:W76"/>
    <mergeCell ref="X76:Z76"/>
    <mergeCell ref="A77:A78"/>
    <mergeCell ref="T77:U77"/>
    <mergeCell ref="V77:W77"/>
    <mergeCell ref="X77:Z77"/>
    <mergeCell ref="AP73:AX73"/>
    <mergeCell ref="A75:A76"/>
    <mergeCell ref="T75:U75"/>
    <mergeCell ref="V75:W75"/>
    <mergeCell ref="X75:Z75"/>
    <mergeCell ref="AC75:AD76"/>
    <mergeCell ref="AE75:AF76"/>
    <mergeCell ref="AG75:AI76"/>
    <mergeCell ref="AK75:AN76"/>
    <mergeCell ref="T76:U76"/>
    <mergeCell ref="AG72:AI74"/>
    <mergeCell ref="AJ72:AO74"/>
    <mergeCell ref="B73:E73"/>
    <mergeCell ref="G73:J73"/>
    <mergeCell ref="L73:N74"/>
    <mergeCell ref="P73:R74"/>
    <mergeCell ref="T73:U74"/>
    <mergeCell ref="V73:W74"/>
    <mergeCell ref="A72:A74"/>
    <mergeCell ref="B72:J72"/>
    <mergeCell ref="L72:R72"/>
    <mergeCell ref="X72:Z74"/>
    <mergeCell ref="AC72:AD74"/>
    <mergeCell ref="AE72:AF74"/>
    <mergeCell ref="A64:A65"/>
    <mergeCell ref="Z64:AA65"/>
    <mergeCell ref="A66:A67"/>
    <mergeCell ref="Z66:AA67"/>
    <mergeCell ref="A68:A69"/>
    <mergeCell ref="Z68:AA69"/>
    <mergeCell ref="A58:A59"/>
    <mergeCell ref="Z58:AA59"/>
    <mergeCell ref="A60:A61"/>
    <mergeCell ref="Z60:AA61"/>
    <mergeCell ref="A62:A63"/>
    <mergeCell ref="Z62:AA63"/>
    <mergeCell ref="A52:A53"/>
    <mergeCell ref="Z52:AA53"/>
    <mergeCell ref="A54:A55"/>
    <mergeCell ref="Z54:AA55"/>
    <mergeCell ref="A56:A57"/>
    <mergeCell ref="Z56:AA57"/>
    <mergeCell ref="A47:A48"/>
    <mergeCell ref="D47:E47"/>
    <mergeCell ref="I47:J47"/>
    <mergeCell ref="N47:O47"/>
    <mergeCell ref="Z47:AA49"/>
    <mergeCell ref="A50:A51"/>
    <mergeCell ref="Z50:AA51"/>
    <mergeCell ref="AE44:AF45"/>
    <mergeCell ref="AG44:AI45"/>
    <mergeCell ref="A44:A45"/>
    <mergeCell ref="AK44:AN45"/>
    <mergeCell ref="AP44:AX45"/>
    <mergeCell ref="T45:U45"/>
    <mergeCell ref="V45:W45"/>
    <mergeCell ref="X45:Z45"/>
    <mergeCell ref="AG42:AI43"/>
    <mergeCell ref="AK42:AN43"/>
    <mergeCell ref="T43:U43"/>
    <mergeCell ref="V43:W43"/>
    <mergeCell ref="X43:Z43"/>
    <mergeCell ref="T44:U44"/>
    <mergeCell ref="V44:W44"/>
    <mergeCell ref="X44:Z44"/>
    <mergeCell ref="AC44:AD45"/>
    <mergeCell ref="A42:A43"/>
    <mergeCell ref="T42:U42"/>
    <mergeCell ref="V42:W42"/>
    <mergeCell ref="X42:Z42"/>
    <mergeCell ref="AC42:AD43"/>
    <mergeCell ref="AE42:AF43"/>
    <mergeCell ref="AG40:AI41"/>
    <mergeCell ref="AK40:AN41"/>
    <mergeCell ref="AP40:AX41"/>
    <mergeCell ref="T41:U41"/>
    <mergeCell ref="V41:W41"/>
    <mergeCell ref="X41:Z41"/>
    <mergeCell ref="A40:A41"/>
    <mergeCell ref="T40:U40"/>
    <mergeCell ref="V40:W40"/>
    <mergeCell ref="X40:Z40"/>
    <mergeCell ref="AC40:AD41"/>
    <mergeCell ref="AE40:AF41"/>
    <mergeCell ref="AG38:AI39"/>
    <mergeCell ref="AK38:AN39"/>
    <mergeCell ref="AP38:AX39"/>
    <mergeCell ref="T39:U39"/>
    <mergeCell ref="V39:W39"/>
    <mergeCell ref="X39:Z39"/>
    <mergeCell ref="A38:A39"/>
    <mergeCell ref="T38:U38"/>
    <mergeCell ref="V38:W38"/>
    <mergeCell ref="X38:Z38"/>
    <mergeCell ref="AC38:AD39"/>
    <mergeCell ref="AE38:AF39"/>
    <mergeCell ref="AE36:AF37"/>
    <mergeCell ref="AG36:AI37"/>
    <mergeCell ref="AK36:AN37"/>
    <mergeCell ref="AP36:AX37"/>
    <mergeCell ref="T37:U37"/>
    <mergeCell ref="V37:W37"/>
    <mergeCell ref="X37:Z37"/>
    <mergeCell ref="AG34:AI35"/>
    <mergeCell ref="AK34:AN35"/>
    <mergeCell ref="T35:U35"/>
    <mergeCell ref="V35:W35"/>
    <mergeCell ref="X35:Z35"/>
    <mergeCell ref="AE34:AF35"/>
    <mergeCell ref="A36:A37"/>
    <mergeCell ref="T36:U36"/>
    <mergeCell ref="V36:W36"/>
    <mergeCell ref="X36:Z36"/>
    <mergeCell ref="AC36:AD37"/>
    <mergeCell ref="A34:A35"/>
    <mergeCell ref="T34:U34"/>
    <mergeCell ref="V34:W34"/>
    <mergeCell ref="X34:Z34"/>
    <mergeCell ref="AC34:AD35"/>
    <mergeCell ref="AG32:AI33"/>
    <mergeCell ref="AK32:AN33"/>
    <mergeCell ref="AP32:AY33"/>
    <mergeCell ref="T33:U33"/>
    <mergeCell ref="V33:W33"/>
    <mergeCell ref="X33:Z33"/>
    <mergeCell ref="A32:A33"/>
    <mergeCell ref="T32:U32"/>
    <mergeCell ref="V32:W32"/>
    <mergeCell ref="X32:Z32"/>
    <mergeCell ref="AC32:AD33"/>
    <mergeCell ref="AE32:AF33"/>
    <mergeCell ref="AC30:AD31"/>
    <mergeCell ref="AE30:AF31"/>
    <mergeCell ref="AG30:AI31"/>
    <mergeCell ref="AK30:AN31"/>
    <mergeCell ref="AP30:AY31"/>
    <mergeCell ref="T31:U31"/>
    <mergeCell ref="V31:W31"/>
    <mergeCell ref="X31:Z31"/>
    <mergeCell ref="T29:U29"/>
    <mergeCell ref="V29:W29"/>
    <mergeCell ref="X29:Z29"/>
    <mergeCell ref="A30:A31"/>
    <mergeCell ref="T30:U30"/>
    <mergeCell ref="V30:W30"/>
    <mergeCell ref="X30:Z30"/>
    <mergeCell ref="AP26:AX26"/>
    <mergeCell ref="A28:A29"/>
    <mergeCell ref="T28:U28"/>
    <mergeCell ref="V28:W28"/>
    <mergeCell ref="X28:Z28"/>
    <mergeCell ref="AC28:AD29"/>
    <mergeCell ref="AE28:AF29"/>
    <mergeCell ref="AG28:AI29"/>
    <mergeCell ref="AK28:AN29"/>
    <mergeCell ref="AP28:AY29"/>
    <mergeCell ref="AC25:AD27"/>
    <mergeCell ref="AE25:AF27"/>
    <mergeCell ref="AG25:AI27"/>
    <mergeCell ref="AJ25:AO27"/>
    <mergeCell ref="B26:E26"/>
    <mergeCell ref="G26:J26"/>
    <mergeCell ref="L26:N27"/>
    <mergeCell ref="P26:R27"/>
    <mergeCell ref="T26:U27"/>
    <mergeCell ref="V26:W27"/>
    <mergeCell ref="A19:A20"/>
    <mergeCell ref="Z19:AA20"/>
    <mergeCell ref="A21:A22"/>
    <mergeCell ref="Z21:AA22"/>
    <mergeCell ref="A25:A27"/>
    <mergeCell ref="B25:J25"/>
    <mergeCell ref="L25:R25"/>
    <mergeCell ref="X25:Z27"/>
    <mergeCell ref="A13:A14"/>
    <mergeCell ref="Z13:AA14"/>
    <mergeCell ref="A15:A16"/>
    <mergeCell ref="Z15:AA16"/>
    <mergeCell ref="A17:A18"/>
    <mergeCell ref="Z17:AA18"/>
    <mergeCell ref="A7:A8"/>
    <mergeCell ref="Z7:AA8"/>
    <mergeCell ref="A9:A10"/>
    <mergeCell ref="Z9:AA10"/>
    <mergeCell ref="A11:A12"/>
    <mergeCell ref="Z11:AA12"/>
    <mergeCell ref="A2:A3"/>
    <mergeCell ref="D2:E2"/>
    <mergeCell ref="I2:J2"/>
    <mergeCell ref="N2:O2"/>
    <mergeCell ref="Z2:AA4"/>
    <mergeCell ref="A5:A6"/>
    <mergeCell ref="Z5:A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</dc:creator>
  <cp:lastModifiedBy>M J</cp:lastModifiedBy>
  <dcterms:created xsi:type="dcterms:W3CDTF">2025-09-05T01:40:50Z</dcterms:created>
  <dcterms:modified xsi:type="dcterms:W3CDTF">2025-09-11T01:45:21Z</dcterms:modified>
</cp:coreProperties>
</file>